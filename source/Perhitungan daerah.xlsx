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vinsi" sheetId="1" r:id="rId5"/>
    <sheet state="visible" name="KabKota" sheetId="2" r:id="rId6"/>
  </sheets>
  <definedNames/>
  <calcPr/>
</workbook>
</file>

<file path=xl/sharedStrings.xml><?xml version="1.0" encoding="utf-8"?>
<sst xmlns="http://schemas.openxmlformats.org/spreadsheetml/2006/main" count="1647" uniqueCount="580">
  <si>
    <t>No</t>
  </si>
  <si>
    <t>Regional</t>
  </si>
  <si>
    <t>Daerah</t>
  </si>
  <si>
    <t>IPM</t>
  </si>
  <si>
    <t>IKF</t>
  </si>
  <si>
    <t>TIK</t>
  </si>
  <si>
    <t>IDI</t>
  </si>
  <si>
    <t>Skor IPM</t>
  </si>
  <si>
    <t>Skor IKF</t>
  </si>
  <si>
    <t>Skor TIK</t>
  </si>
  <si>
    <t>Skor IDI</t>
  </si>
  <si>
    <t>Rata-rata Skor</t>
  </si>
  <si>
    <t>Ranking Nasional</t>
  </si>
  <si>
    <t>Ranking Regional</t>
  </si>
  <si>
    <t>JAWA</t>
  </si>
  <si>
    <t>DAERAH KHUSUS JAKARTA</t>
  </si>
  <si>
    <t>DAERAH ISTIMEWA YOGYAKARTA</t>
  </si>
  <si>
    <t>BALI - NUSA TENGGARA</t>
  </si>
  <si>
    <t>BALI</t>
  </si>
  <si>
    <t>JAWA BARAT</t>
  </si>
  <si>
    <t>SUMATERA</t>
  </si>
  <si>
    <t>SUMATERA UTARA</t>
  </si>
  <si>
    <t>BANTEN</t>
  </si>
  <si>
    <t>JAWA TIMUR</t>
  </si>
  <si>
    <t>KEPULAUAN RIAU</t>
  </si>
  <si>
    <t>MALUKU - PAPUA</t>
  </si>
  <si>
    <t>PAPUA BARAT</t>
  </si>
  <si>
    <t>KALIMANTAN</t>
  </si>
  <si>
    <t>KALIMANTAN TIMUR</t>
  </si>
  <si>
    <t>SUMATERA SELATAN</t>
  </si>
  <si>
    <t>JAWA TENGAH</t>
  </si>
  <si>
    <t>SULAWESI</t>
  </si>
  <si>
    <t>SULAWESI SELATAN</t>
  </si>
  <si>
    <t>RIAU</t>
  </si>
  <si>
    <t>SUMATERA BARAT</t>
  </si>
  <si>
    <t>KALIMANTAN BARAT</t>
  </si>
  <si>
    <t>ACEH</t>
  </si>
  <si>
    <t>SULAWESI UTARA</t>
  </si>
  <si>
    <t>JAMBI</t>
  </si>
  <si>
    <t>BENGKULU</t>
  </si>
  <si>
    <t>KALIMANTAN TENGAH</t>
  </si>
  <si>
    <t>KALIMANTAN SELATAN</t>
  </si>
  <si>
    <t>KALIMANTAN UTARA</t>
  </si>
  <si>
    <t>LAMPUNG</t>
  </si>
  <si>
    <t>KEPULAUAN BANGKA BELITUNG</t>
  </si>
  <si>
    <t>NUSA TENGGARA BARAT</t>
  </si>
  <si>
    <t>SULAWESI TENGGARA</t>
  </si>
  <si>
    <t>SULAWESI TENGAH</t>
  </si>
  <si>
    <t>GORONTALO</t>
  </si>
  <si>
    <t>MALUKU</t>
  </si>
  <si>
    <t>SULAWESI BARAT</t>
  </si>
  <si>
    <t>MALUKU UTARA</t>
  </si>
  <si>
    <t>NUSA TENGGARA TIMUR</t>
  </si>
  <si>
    <t>PAPUA TENGAH</t>
  </si>
  <si>
    <t>PAPUA BARAT DAYA</t>
  </si>
  <si>
    <t>PAPUA</t>
  </si>
  <si>
    <t>PAPUA SELATAN</t>
  </si>
  <si>
    <t>PAPUA PEGUNUNGAN</t>
  </si>
  <si>
    <t>Provinsi</t>
  </si>
  <si>
    <t>Kab/Kota</t>
  </si>
  <si>
    <t>Bali - Nusa Tenggara</t>
  </si>
  <si>
    <t>Kabupaten Badung</t>
  </si>
  <si>
    <t>Kabupaten Gianyar</t>
  </si>
  <si>
    <t>Jawa</t>
  </si>
  <si>
    <t>Kota Yogyakarta</t>
  </si>
  <si>
    <t>Kota Denpasar</t>
  </si>
  <si>
    <t>Kabupaten Sleman</t>
  </si>
  <si>
    <t>Kota Kediri</t>
  </si>
  <si>
    <t>Kota Malang</t>
  </si>
  <si>
    <t>Kota Tangerang Selatan</t>
  </si>
  <si>
    <t>Sumatera</t>
  </si>
  <si>
    <t>Kota Batam</t>
  </si>
  <si>
    <t>Kota Semarang</t>
  </si>
  <si>
    <t>Kota Administratif Jakarta Pusat</t>
  </si>
  <si>
    <t>Kota Bogor</t>
  </si>
  <si>
    <t>Sulawesi</t>
  </si>
  <si>
    <t>Kabupaten Morowali</t>
  </si>
  <si>
    <t>Kalimantan</t>
  </si>
  <si>
    <t>Kabupaten Barito Utara</t>
  </si>
  <si>
    <t>Kota Depok</t>
  </si>
  <si>
    <t>Kota Administratif Jakarta Utara</t>
  </si>
  <si>
    <t>Kota Administratif Jakarta Selatan</t>
  </si>
  <si>
    <t>Kota Manado</t>
  </si>
  <si>
    <t>Kota Makassar</t>
  </si>
  <si>
    <t>Kota Administratif Jakarta Barat</t>
  </si>
  <si>
    <t>Kabupaten Bojonegoro</t>
  </si>
  <si>
    <t>Kota Bandung</t>
  </si>
  <si>
    <t>Kota Administratif Jakarta Timur</t>
  </si>
  <si>
    <t>Kota Surabaya</t>
  </si>
  <si>
    <t>Kota Medan</t>
  </si>
  <si>
    <t>Kabupaten Bantul</t>
  </si>
  <si>
    <t>Kota Pontianak</t>
  </si>
  <si>
    <t>Kota Madiun</t>
  </si>
  <si>
    <t>Kota Salatiga</t>
  </si>
  <si>
    <t>Kabupaten Tangerang</t>
  </si>
  <si>
    <t>Kota Tangerang</t>
  </si>
  <si>
    <t>Kabupaten Kutai Barat</t>
  </si>
  <si>
    <t>Kabupaten Karawang</t>
  </si>
  <si>
    <t>Kepulauan Seribu</t>
  </si>
  <si>
    <t>Kabupaten Kulon Progo</t>
  </si>
  <si>
    <t>Kabupaten Sumbawa Barat</t>
  </si>
  <si>
    <t>Kota Tarakan</t>
  </si>
  <si>
    <t>Kabupaten Hulu Sungai Selatan</t>
  </si>
  <si>
    <t>Kota Cimahi</t>
  </si>
  <si>
    <t>Kabupaten Subang</t>
  </si>
  <si>
    <t>Kabupaten Bandung</t>
  </si>
  <si>
    <t>Kota Bukittinggi</t>
  </si>
  <si>
    <t>Kota Palembang</t>
  </si>
  <si>
    <t>Kota Pematangsiantar</t>
  </si>
  <si>
    <t>Kabupaten Tabalong</t>
  </si>
  <si>
    <t>Kota Surakarta</t>
  </si>
  <si>
    <t>Kabupaten Gresik</t>
  </si>
  <si>
    <t>Kota Samarinda</t>
  </si>
  <si>
    <t>Kabupaten Bekasi</t>
  </si>
  <si>
    <t>Kabupaten Tanah Bumbu</t>
  </si>
  <si>
    <t>Kota Tanjung Pinang</t>
  </si>
  <si>
    <t>Kota Cilegon</t>
  </si>
  <si>
    <t>Kota Pekanbaru</t>
  </si>
  <si>
    <t>Kabupaten Berau</t>
  </si>
  <si>
    <t>Kota Jambi</t>
  </si>
  <si>
    <t>Kabupaten Buleleng</t>
  </si>
  <si>
    <t>Kota Bitung</t>
  </si>
  <si>
    <t>Kota Palangka Raya</t>
  </si>
  <si>
    <t>Kabupaten Gunungkidul</t>
  </si>
  <si>
    <t>Kabupaten Muara Enim</t>
  </si>
  <si>
    <t>Kabupaten Boyolali</t>
  </si>
  <si>
    <t>Kabupaten Langkat</t>
  </si>
  <si>
    <t>Kota Padang</t>
  </si>
  <si>
    <t>Kota Bekasi</t>
  </si>
  <si>
    <t>Kota Bontang</t>
  </si>
  <si>
    <t>Kabupaten Sidoarjo</t>
  </si>
  <si>
    <t>Kota Banjarbaru</t>
  </si>
  <si>
    <t>Kabupaten Tabanan</t>
  </si>
  <si>
    <t>Kota Balikpapan</t>
  </si>
  <si>
    <t>Kota Banjarmasin</t>
  </si>
  <si>
    <t>Kabupaten Deli Serdang</t>
  </si>
  <si>
    <t>Kota Bengkulu</t>
  </si>
  <si>
    <t>Kota Batu</t>
  </si>
  <si>
    <t>Kota Lubuklinggau</t>
  </si>
  <si>
    <t>Kabupaten Sukoharjo</t>
  </si>
  <si>
    <t>Kota Kendari</t>
  </si>
  <si>
    <t>Kabupaten Jembrana</t>
  </si>
  <si>
    <t>Kabupaten Mojokerto</t>
  </si>
  <si>
    <t>Kota Binjai</t>
  </si>
  <si>
    <t>Kabupaten Hulu Sungai Tengah</t>
  </si>
  <si>
    <t>Kabupaten Tanah Laut</t>
  </si>
  <si>
    <t>Kota Solok</t>
  </si>
  <si>
    <t>Kabupaten Klungkung</t>
  </si>
  <si>
    <t>Kota Dumai</t>
  </si>
  <si>
    <t>Kabupaten Tana Tidung</t>
  </si>
  <si>
    <t>Kabupaten Bulungan</t>
  </si>
  <si>
    <t>Kabupaten Bogor</t>
  </si>
  <si>
    <t>Kota Pekalongan</t>
  </si>
  <si>
    <t>Kota Magelang</t>
  </si>
  <si>
    <t>Kota Prabumulih</t>
  </si>
  <si>
    <t>Kabupaten Kudus</t>
  </si>
  <si>
    <t>Kota Banda Aceh</t>
  </si>
  <si>
    <t>Kabupaten Tuban</t>
  </si>
  <si>
    <t>Kabupaten Karangasem</t>
  </si>
  <si>
    <t>Kota Bau-Bau</t>
  </si>
  <si>
    <t>Kabupaten Karimun</t>
  </si>
  <si>
    <t>Kota Payakumbuh</t>
  </si>
  <si>
    <t>Kabupaten Pangkajene dan Kepulauan</t>
  </si>
  <si>
    <t>Kota Sibolga</t>
  </si>
  <si>
    <t>Kabupaten Kapuas</t>
  </si>
  <si>
    <t>Kota Serang</t>
  </si>
  <si>
    <t>Kota Sukabumi</t>
  </si>
  <si>
    <t>Kota Pangkal Pinang</t>
  </si>
  <si>
    <t>Kota Kupang</t>
  </si>
  <si>
    <t>Kota Pasuruan</t>
  </si>
  <si>
    <t>Kabupaten Natuna</t>
  </si>
  <si>
    <t>Kabupaten Bintan</t>
  </si>
  <si>
    <t>Kota Singkawang</t>
  </si>
  <si>
    <t>Kota Padangpanjang</t>
  </si>
  <si>
    <t>Kabupaten Minahasa Utara</t>
  </si>
  <si>
    <t>Kota Tasikmalaya</t>
  </si>
  <si>
    <t>Kota Tomohon</t>
  </si>
  <si>
    <t>Kabupaten Banjar</t>
  </si>
  <si>
    <t>Kota Palu</t>
  </si>
  <si>
    <t>Kabupaten Gowa</t>
  </si>
  <si>
    <t>Maluku - Papua</t>
  </si>
  <si>
    <t>Kota Ambon</t>
  </si>
  <si>
    <t>Kota Tanjung Balai</t>
  </si>
  <si>
    <t>Kabupaten Balangan</t>
  </si>
  <si>
    <t>Kabupaten Tulungagung</t>
  </si>
  <si>
    <t>Kabupaten Bangli</t>
  </si>
  <si>
    <t>Kota Blitar</t>
  </si>
  <si>
    <t>Kota Tebing Tinggi</t>
  </si>
  <si>
    <t>Kabupaten Asahan</t>
  </si>
  <si>
    <t>Kabupaten Paser</t>
  </si>
  <si>
    <t>Kabupaten Batu Bara</t>
  </si>
  <si>
    <t>Kota Parepare</t>
  </si>
  <si>
    <t>Kabupaten Malinau</t>
  </si>
  <si>
    <t>Kabupaten Klaten</t>
  </si>
  <si>
    <t>Kota Probolinggo</t>
  </si>
  <si>
    <t>Kota Lhokseumawe</t>
  </si>
  <si>
    <t>Kabupaten Kutai Kartanegara</t>
  </si>
  <si>
    <t>Kota Pariaman</t>
  </si>
  <si>
    <t>Kota Mataram</t>
  </si>
  <si>
    <t>Kabupaten Maros</t>
  </si>
  <si>
    <t>Kabupaten Karanganyar</t>
  </si>
  <si>
    <t>Kabupaten Kubu Raya</t>
  </si>
  <si>
    <t>Kota Mojokerto</t>
  </si>
  <si>
    <t>Kabupaten Semarang</t>
  </si>
  <si>
    <t>Kabupaten Hulu Sungai Utara</t>
  </si>
  <si>
    <t>Kabupaten Pati</t>
  </si>
  <si>
    <t>Kabupaten Kutai Timur</t>
  </si>
  <si>
    <t>Kota Bandar Lampung</t>
  </si>
  <si>
    <t>Kabupaten Banyuwangi</t>
  </si>
  <si>
    <t>Kota Cirebon</t>
  </si>
  <si>
    <t>Kota Palopo</t>
  </si>
  <si>
    <t>Kabupaten Malang</t>
  </si>
  <si>
    <t>Kabupaten Minahasa</t>
  </si>
  <si>
    <t>Kabupaten Nganjuk</t>
  </si>
  <si>
    <t>Kabupaten Penajam Paser Utara</t>
  </si>
  <si>
    <t>Kabupaten Halmahera Timur</t>
  </si>
  <si>
    <t>Kabupaten Magetan</t>
  </si>
  <si>
    <t>Kota Pagar Alam</t>
  </si>
  <si>
    <t>Kabupaten Dairi</t>
  </si>
  <si>
    <t>Kabupaten Kepulauan Anambas</t>
  </si>
  <si>
    <t>Kota Tegal</t>
  </si>
  <si>
    <t>Kabupaten Lahat</t>
  </si>
  <si>
    <t>Kabupaten Lingga</t>
  </si>
  <si>
    <t>Kabupaten Bandung Barat</t>
  </si>
  <si>
    <t>Kabupaten Soppeng</t>
  </si>
  <si>
    <t>Kabupaten Demak</t>
  </si>
  <si>
    <t>Kabupaten Belitung</t>
  </si>
  <si>
    <t>Kabupaten Lampung Tengah</t>
  </si>
  <si>
    <t>Kabupaten Labuhanbatu Selatan</t>
  </si>
  <si>
    <t>Kabupaten Labuhanbatu Utara</t>
  </si>
  <si>
    <t>Kabupaten Barito Kuala</t>
  </si>
  <si>
    <t>Kabupaten Sragen</t>
  </si>
  <si>
    <t>Kabupaten Sumedang</t>
  </si>
  <si>
    <t>Kota Padang Sidempuan</t>
  </si>
  <si>
    <t>Kabupaten Luwu Timur</t>
  </si>
  <si>
    <t>Kabupaten Madiun</t>
  </si>
  <si>
    <t>Kabupaten Sukabumi</t>
  </si>
  <si>
    <t>Kabupaten Jepara</t>
  </si>
  <si>
    <t>Kota Sabang</t>
  </si>
  <si>
    <t>Kabupaten Aceh Tengah</t>
  </si>
  <si>
    <t>Kabupaten Purworejo</t>
  </si>
  <si>
    <t>Kabupaten Sumenep</t>
  </si>
  <si>
    <t>Kabupaten Mempawah</t>
  </si>
  <si>
    <t>Kota Banjar</t>
  </si>
  <si>
    <t>Kabupaten Toba</t>
  </si>
  <si>
    <t>Kota Langsa</t>
  </si>
  <si>
    <t>Kabupaten Teluk Bintuni</t>
  </si>
  <si>
    <t>Kabupaten Tapanuli Selatan</t>
  </si>
  <si>
    <t>Kabupaten Barru</t>
  </si>
  <si>
    <t>Kabupaten Lamongan</t>
  </si>
  <si>
    <t>Kabupaten Pakpak Bharat</t>
  </si>
  <si>
    <t>Kabupaten Kediri</t>
  </si>
  <si>
    <t>Kabupaten Kolaka</t>
  </si>
  <si>
    <t>Kota Ternate</t>
  </si>
  <si>
    <t>Kabupaten Purwakarta</t>
  </si>
  <si>
    <t>Kabupaten Jombang</t>
  </si>
  <si>
    <t>Kabupaten Tana Toraja</t>
  </si>
  <si>
    <t>Kabupaten Tapanuli Utara</t>
  </si>
  <si>
    <t>Kabupaten Rejang Lebong</t>
  </si>
  <si>
    <t>Kota Sungai Penuh</t>
  </si>
  <si>
    <t>Kabupaten Tanjung Jabung Barat</t>
  </si>
  <si>
    <t>Kabupaten Karo</t>
  </si>
  <si>
    <t>Kabupaten Jeneponto</t>
  </si>
  <si>
    <t>Kabupaten Agam</t>
  </si>
  <si>
    <t>Kota Metro</t>
  </si>
  <si>
    <t>Kabupaten Simalungun</t>
  </si>
  <si>
    <t>Kabupaten Barito Timur</t>
  </si>
  <si>
    <t>Kabupaten Pinrang</t>
  </si>
  <si>
    <t>Kabupaten Blitar</t>
  </si>
  <si>
    <t>Kabupaten Tegal</t>
  </si>
  <si>
    <t>Kabupaten Mahakam Ulu</t>
  </si>
  <si>
    <t>Kabupaten Lombok Barat</t>
  </si>
  <si>
    <t>Kabupaten Murung Raya</t>
  </si>
  <si>
    <t>Kabupaten Kampar</t>
  </si>
  <si>
    <t>Kabupaten Ciamis</t>
  </si>
  <si>
    <t>Kabupaten Konawe Kepulauan</t>
  </si>
  <si>
    <t>Kabupaten Tapanuli Tengah</t>
  </si>
  <si>
    <t>Kota Sawahlunto</t>
  </si>
  <si>
    <t>Kota Kotamobagu</t>
  </si>
  <si>
    <t>Kabupaten Magelang</t>
  </si>
  <si>
    <t>Kabupaten Kerinci</t>
  </si>
  <si>
    <t>Kabupaten Donggala</t>
  </si>
  <si>
    <t>Kabupaten Aceh Tamiang</t>
  </si>
  <si>
    <t>Kabupaten Wonogiri</t>
  </si>
  <si>
    <t>Kabupaten Lombok Utara</t>
  </si>
  <si>
    <t>Kabupaten Enrekang</t>
  </si>
  <si>
    <t>Kabupaten Bulukumba</t>
  </si>
  <si>
    <t>Kabupaten Samosir</t>
  </si>
  <si>
    <t>Kabupaten Toraja Utara</t>
  </si>
  <si>
    <t>Kabupaten Ponorogo</t>
  </si>
  <si>
    <t>Kabupaten Sidenreng Rappang</t>
  </si>
  <si>
    <t>Kabupaten Lumajang</t>
  </si>
  <si>
    <t>Kabupaten Tebo</t>
  </si>
  <si>
    <t>Kabupaten Tanah Datar</t>
  </si>
  <si>
    <t>Kabupaten Serang</t>
  </si>
  <si>
    <t>Kabupaten Nias Utara</t>
  </si>
  <si>
    <t>Kabupaten Serdang Bedagai</t>
  </si>
  <si>
    <t>Kabupaten Lombok Tengah</t>
  </si>
  <si>
    <t>Kabupaten Bengkulu Selatan</t>
  </si>
  <si>
    <t>Kabupaten Sintang</t>
  </si>
  <si>
    <t>Kabupaten Kuningan</t>
  </si>
  <si>
    <t>Kabupaten Minahasa Selatan</t>
  </si>
  <si>
    <t>Kabupaten Kendal</t>
  </si>
  <si>
    <t>Kabupaten Siak</t>
  </si>
  <si>
    <t>Kabupaten Kebumen</t>
  </si>
  <si>
    <t>Kabupaten Indramayu</t>
  </si>
  <si>
    <t>Kabupaten Bener Meriah</t>
  </si>
  <si>
    <t>Kabupaten Wajo</t>
  </si>
  <si>
    <t>Kabupaten Bengkalis</t>
  </si>
  <si>
    <t>Kabupaten Cirebon</t>
  </si>
  <si>
    <t>Kabupaten Bangka</t>
  </si>
  <si>
    <t>Kabupaten Mukomuko</t>
  </si>
  <si>
    <t>Kabupaten Belitung Timur</t>
  </si>
  <si>
    <t>Kabupaten Bantaeng</t>
  </si>
  <si>
    <t>Kabupaten Muaro Jambi</t>
  </si>
  <si>
    <t>Kabupaten Kotawaringin Timur</t>
  </si>
  <si>
    <t>Kabupaten Solok Selatan</t>
  </si>
  <si>
    <t>Kabupaten Kepulauan Sangihe</t>
  </si>
  <si>
    <t>Kabupaten Banyumas</t>
  </si>
  <si>
    <t>Kabupaten Dharmasraya</t>
  </si>
  <si>
    <t>Kabupaten Grobogan</t>
  </si>
  <si>
    <t>Kabupaten Bengkulu Utara</t>
  </si>
  <si>
    <t>Kabupaten Bungo</t>
  </si>
  <si>
    <t>Kabupaten Ogan Ilir</t>
  </si>
  <si>
    <t>Kabupaten Labuhanbatu</t>
  </si>
  <si>
    <t>Kabupaten Aceh Besar</t>
  </si>
  <si>
    <t>Kabupaten Pidie Jaya</t>
  </si>
  <si>
    <t>Kabupaten Probolinggo</t>
  </si>
  <si>
    <t>Kabupaten Barito Selatan</t>
  </si>
  <si>
    <t>Kabupaten Padang Pariaman</t>
  </si>
  <si>
    <t>Kabupaten Musi Rawas Utara</t>
  </si>
  <si>
    <t>Kabupaten Bireuen</t>
  </si>
  <si>
    <t>Kabupaten Luwu</t>
  </si>
  <si>
    <t>Kabupaten Cilacap</t>
  </si>
  <si>
    <t>Kabupaten Indragiri Hulu</t>
  </si>
  <si>
    <t>Kabupaten Garut</t>
  </si>
  <si>
    <t>Kabupaten Majalengka</t>
  </si>
  <si>
    <t>Kabupaten Situbondo</t>
  </si>
  <si>
    <t>Kabupaten Sarolangun</t>
  </si>
  <si>
    <t>Kabupaten Humbang Hasundutan</t>
  </si>
  <si>
    <t>Kabupaten Tapin</t>
  </si>
  <si>
    <t>Kabupaten Pelalawan</t>
  </si>
  <si>
    <t>Kabupaten Pidie</t>
  </si>
  <si>
    <t>Kabupaten Batanghari</t>
  </si>
  <si>
    <t>Kabupaten Konawe</t>
  </si>
  <si>
    <t>Kabupaten Padang Lawas Utara</t>
  </si>
  <si>
    <t>Kabupaten Musi Banyuasin</t>
  </si>
  <si>
    <t>Kabupaten Ngawi</t>
  </si>
  <si>
    <t>Kabupaten Padang Lawas</t>
  </si>
  <si>
    <t>Kabupaten Ogan Komering Ulu</t>
  </si>
  <si>
    <t>Kabupaten Pangandaran</t>
  </si>
  <si>
    <t>Kabupaten Temanggung</t>
  </si>
  <si>
    <t>Kabupaten Luwu Utara</t>
  </si>
  <si>
    <t>Kabupaten Merangin</t>
  </si>
  <si>
    <t>Kabupaten Pasuruan</t>
  </si>
  <si>
    <t>Kabupaten Rembang</t>
  </si>
  <si>
    <t>Kabupaten Brebes</t>
  </si>
  <si>
    <t>Kabupaten Tasikmalaya</t>
  </si>
  <si>
    <t>Kabupaten Penukal Abab Lematang Ilir</t>
  </si>
  <si>
    <t>Kabupaten Gunung Mas</t>
  </si>
  <si>
    <t>Kota Bima</t>
  </si>
  <si>
    <t>Kabupaten Aceh Barat</t>
  </si>
  <si>
    <t>Kabupaten Mandailing Natal</t>
  </si>
  <si>
    <t>Kota Gunungsitoli</t>
  </si>
  <si>
    <t>Kabupaten Purbalingga</t>
  </si>
  <si>
    <t>Kabupaten Ogan Komering Ulu Timur</t>
  </si>
  <si>
    <t>Kabupaten Landak</t>
  </si>
  <si>
    <t>Kabupaten Nias Selatan</t>
  </si>
  <si>
    <t>Kabupaten Cianjur</t>
  </si>
  <si>
    <t>Kabupaten Bolaang Mongondow Utara</t>
  </si>
  <si>
    <t>Kabupaten Kuantan Singingi</t>
  </si>
  <si>
    <t>Kabupaten Kepulauan Siau Tagulandang Biaro</t>
  </si>
  <si>
    <t>Kabupaten Batang</t>
  </si>
  <si>
    <t>Kabupaten Solok</t>
  </si>
  <si>
    <t>Kabupaten Pasaman Barat</t>
  </si>
  <si>
    <t>Kabupaten Trenggalek</t>
  </si>
  <si>
    <t>Kabupaten Bondowoso</t>
  </si>
  <si>
    <t>Kabupaten Sekadau</t>
  </si>
  <si>
    <t>Kabupaten Sijunjung</t>
  </si>
  <si>
    <t>Kabupaten Aceh Jaya</t>
  </si>
  <si>
    <t>Kabupaten Kotawaringin Barat</t>
  </si>
  <si>
    <t>Kabupaten Pesisir Selatan</t>
  </si>
  <si>
    <t>Kabupaten Takalar</t>
  </si>
  <si>
    <t>Kabupaten Rokan Hulu</t>
  </si>
  <si>
    <t>Kabupaten Lebong</t>
  </si>
  <si>
    <t>Kabupaten Sambas</t>
  </si>
  <si>
    <t>Kabupaten Pulang Pisau</t>
  </si>
  <si>
    <t>Kabupaten Bolaang Mongondow Selatan</t>
  </si>
  <si>
    <t>Kabupaten Aceh Utara</t>
  </si>
  <si>
    <t>Kabupaten Lima Puluh Kota</t>
  </si>
  <si>
    <t>Kabupaten Wonosobo</t>
  </si>
  <si>
    <t>Kabupaten Nagan Raya</t>
  </si>
  <si>
    <t>Kabupaten Toli-Toli</t>
  </si>
  <si>
    <t>Kabupaten Pekalongan</t>
  </si>
  <si>
    <t>Kabupaten Banyuasin</t>
  </si>
  <si>
    <t>Kabupaten Minahasa Tenggara</t>
  </si>
  <si>
    <t>Kabupaten Kotabaru</t>
  </si>
  <si>
    <t>Kabupaten Jember</t>
  </si>
  <si>
    <t>Kabupaten Bone</t>
  </si>
  <si>
    <t>Kabupaten Pamekasan</t>
  </si>
  <si>
    <t>Kabupaten Katingan</t>
  </si>
  <si>
    <t>Kabupaten Pandeglang</t>
  </si>
  <si>
    <t>Kota Gorontalo</t>
  </si>
  <si>
    <t>Kabupaten Kepulauan Talaud</t>
  </si>
  <si>
    <t>Kabupaten Kepulauan Tanimbar</t>
  </si>
  <si>
    <t>Kabupaten Bengkulu Tengah</t>
  </si>
  <si>
    <t>Kabupaten Musi Rawas</t>
  </si>
  <si>
    <t>Kabupaten Blora</t>
  </si>
  <si>
    <t>Kabupaten Lampung Selatan</t>
  </si>
  <si>
    <t>Kabupaten Bangka Barat</t>
  </si>
  <si>
    <t>Kabupaten Pacitan</t>
  </si>
  <si>
    <t>Kabupaten Bangka Tengah</t>
  </si>
  <si>
    <t>Kabupaten Bolaang Mongondow</t>
  </si>
  <si>
    <t>Kabupaten Buton Tengah</t>
  </si>
  <si>
    <t>Kabupaten Maluku Tengah</t>
  </si>
  <si>
    <t>Kabupaten Rokan Hilir</t>
  </si>
  <si>
    <t>Kabupaten Kepahiang</t>
  </si>
  <si>
    <t>Kabupaten Kayong Utara</t>
  </si>
  <si>
    <t>Kabupaten Tanjung Jabung Timur</t>
  </si>
  <si>
    <t>Kabupaten Lamandau</t>
  </si>
  <si>
    <t>Kabupaten Seram Bagian Barat</t>
  </si>
  <si>
    <t>Kabupaten Ogan Komering Ilir</t>
  </si>
  <si>
    <t>Kabupaten Poso</t>
  </si>
  <si>
    <t>Kabupaten Sinjai</t>
  </si>
  <si>
    <t>Kabupaten Kaur</t>
  </si>
  <si>
    <t>Kabupaten Melawi</t>
  </si>
  <si>
    <t>Kabupaten Kepulauan Selayar</t>
  </si>
  <si>
    <t>Kabupaten Ketapang</t>
  </si>
  <si>
    <t>Kabupaten Aceh Tenggara</t>
  </si>
  <si>
    <t>Kabupaten Lebak</t>
  </si>
  <si>
    <t>Kabupaten Seluma</t>
  </si>
  <si>
    <t>Kabupaten Gayo Lues</t>
  </si>
  <si>
    <t>Kabupaten Banjarnegara</t>
  </si>
  <si>
    <t>Kabupaten Pasaman</t>
  </si>
  <si>
    <t>Kabupaten Halmahera Selatan</t>
  </si>
  <si>
    <t>Kabupaten Aceh Singkil</t>
  </si>
  <si>
    <t>Kabupaten Bengkayang</t>
  </si>
  <si>
    <t>Kabupaten Simeulue</t>
  </si>
  <si>
    <t>Kota Subulussalam</t>
  </si>
  <si>
    <t>Kabupaten Nunukan</t>
  </si>
  <si>
    <t>Kabupaten Indragiri Hilir</t>
  </si>
  <si>
    <t>Kabupaten Wakatobi</t>
  </si>
  <si>
    <t>Kabupaten Bolaang Mongondow Timur</t>
  </si>
  <si>
    <t>Kota Tual</t>
  </si>
  <si>
    <t>Kabupaten Sanggau</t>
  </si>
  <si>
    <t>Kabupaten Pegunungan Arfak</t>
  </si>
  <si>
    <t>Kabupaten Buton Utara</t>
  </si>
  <si>
    <t>Kabupaten Bangka Selatan</t>
  </si>
  <si>
    <t>Kabupaten Aceh Selatan</t>
  </si>
  <si>
    <t>Kabupaten Empat Lawang</t>
  </si>
  <si>
    <t>Kabupaten Konawe Utara</t>
  </si>
  <si>
    <t>Kabupaten Pemalang</t>
  </si>
  <si>
    <t>Kabupaten Ogan Komering Ulu Selatan</t>
  </si>
  <si>
    <t>Kabupaten Banggai</t>
  </si>
  <si>
    <t>Kabupaten Aceh Barat Daya</t>
  </si>
  <si>
    <t>Kabupaten Kapuas Hulu</t>
  </si>
  <si>
    <t>Kabupaten Nias Barat</t>
  </si>
  <si>
    <t>Kabupaten Nias</t>
  </si>
  <si>
    <t>Kabupaten Sumba Barat</t>
  </si>
  <si>
    <t>Kabupaten Kolaka Utara</t>
  </si>
  <si>
    <t>Kabupaten Sumbawa</t>
  </si>
  <si>
    <t>Kabupaten Lombok Timur</t>
  </si>
  <si>
    <t>Kabupaten Dompu</t>
  </si>
  <si>
    <t>Kabupaten Bangkalan</t>
  </si>
  <si>
    <t>Kabupaten Kepulauan Meranti</t>
  </si>
  <si>
    <t>Kabupaten Konawe Selatan</t>
  </si>
  <si>
    <t>Kabupaten Aceh Timur</t>
  </si>
  <si>
    <t>Kabupaten Buton Selatan</t>
  </si>
  <si>
    <t>Kabupaten Muna</t>
  </si>
  <si>
    <t>Kabupaten Kepulauan Mentawai</t>
  </si>
  <si>
    <t>Kabupaten Sukamara</t>
  </si>
  <si>
    <t>Kabupaten Buol</t>
  </si>
  <si>
    <t>Kabupaten Pringsewu</t>
  </si>
  <si>
    <t>Kabupaten Seruyan</t>
  </si>
  <si>
    <t>Kabupaten Kolaka Timur</t>
  </si>
  <si>
    <t>Kabupaten Morowali Utara</t>
  </si>
  <si>
    <t>Kabupaten Lampung Timur</t>
  </si>
  <si>
    <t>Kabupaten Buton</t>
  </si>
  <si>
    <t>Kabupaten Ngada</t>
  </si>
  <si>
    <t>Kabupaten Sigi</t>
  </si>
  <si>
    <t>Kabupaten Sampang</t>
  </si>
  <si>
    <t>Kabupaten Majene</t>
  </si>
  <si>
    <t>Kabupaten Mamuju</t>
  </si>
  <si>
    <t>Kabupaten Parigi Moutong</t>
  </si>
  <si>
    <t>Kabupaten Bima</t>
  </si>
  <si>
    <t>Kabupaten Lampung Barat</t>
  </si>
  <si>
    <t>Kabupaten Tulang Bawang Barat</t>
  </si>
  <si>
    <t>Kabupaten Bone Bolango</t>
  </si>
  <si>
    <t>Kabupaten Kaimana</t>
  </si>
  <si>
    <t>Kabupaten Muna Barat</t>
  </si>
  <si>
    <t>Kabupaten Halmahera Tengah</t>
  </si>
  <si>
    <t>Kabupaten Banggai Laut</t>
  </si>
  <si>
    <t>Kabupaten Way Kanan</t>
  </si>
  <si>
    <t>Kabupaten Bombana</t>
  </si>
  <si>
    <t>Kabupaten Tojo Una-Una</t>
  </si>
  <si>
    <t>Kabupaten Gorontalo</t>
  </si>
  <si>
    <t>Kabupaten Lampung Utara</t>
  </si>
  <si>
    <t>Kabupaten Tulang Bawang</t>
  </si>
  <si>
    <t>Kabupaten Pasangkayu</t>
  </si>
  <si>
    <t>Kabupaten Seram Bagian Timur</t>
  </si>
  <si>
    <t>Kabupaten Manokwari</t>
  </si>
  <si>
    <t>Kabupaten Banggai Kepulauan</t>
  </si>
  <si>
    <t>Kota Tidore Kepulauan</t>
  </si>
  <si>
    <t>Kabupaten Pesisir Barat</t>
  </si>
  <si>
    <t>Kabupaten Tanggamus</t>
  </si>
  <si>
    <t>Kabupaten Pesawaran</t>
  </si>
  <si>
    <t>Kabupaten Flores Timur</t>
  </si>
  <si>
    <t>Kabupaten Halmahera Barat</t>
  </si>
  <si>
    <t>Kabupaten Kepulauan Aru</t>
  </si>
  <si>
    <t>Kabupaten Ende</t>
  </si>
  <si>
    <t>Kabupaten Mamuju Tengah</t>
  </si>
  <si>
    <t>Kabupaten Manggarai Barat</t>
  </si>
  <si>
    <t>Kabupaten Pohuwato</t>
  </si>
  <si>
    <t>Kabupaten Nagekeo</t>
  </si>
  <si>
    <t>Kabupaten Buru</t>
  </si>
  <si>
    <t>Kabupaten Boalemo</t>
  </si>
  <si>
    <t>Kabupaten Halmahera Utara</t>
  </si>
  <si>
    <t>Kabupaten Polewali Mandar</t>
  </si>
  <si>
    <t>Kabupaten Kepulauan Sula</t>
  </si>
  <si>
    <t>Kabupaten Alor</t>
  </si>
  <si>
    <t>Kabupaten Gorontalo Utara</t>
  </si>
  <si>
    <t>Kabupaten Mamasa</t>
  </si>
  <si>
    <t>Kabupaten Mesuji</t>
  </si>
  <si>
    <t>Kabupaten Fakfak</t>
  </si>
  <si>
    <t>Kabupaten Timor Tengah Utara</t>
  </si>
  <si>
    <t>Kabupaten Sikka</t>
  </si>
  <si>
    <t>Kabupaten Belu</t>
  </si>
  <si>
    <t>Kabupaten Sumba Timur</t>
  </si>
  <si>
    <t>Kabupaten Kupang</t>
  </si>
  <si>
    <t>Kabupaten Manggarai</t>
  </si>
  <si>
    <t>Kabupaten Sumba Barat Daya</t>
  </si>
  <si>
    <t>Kabupaten Teluk Wondama</t>
  </si>
  <si>
    <t>Kabupaten Maluku Tenggara</t>
  </si>
  <si>
    <t>Kabupaten Manggarai Timur</t>
  </si>
  <si>
    <t>Kota Sorong</t>
  </si>
  <si>
    <t>Kabupaten Lembata</t>
  </si>
  <si>
    <t>Kabupaten Manokwari Selatan</t>
  </si>
  <si>
    <t>Kabupaten Timor Tengah Selatan</t>
  </si>
  <si>
    <t>Kabupaten Buru Selatan</t>
  </si>
  <si>
    <t>Kabupaten Sumba Tengah</t>
  </si>
  <si>
    <t>Kabupaten Maluku Barat Daya</t>
  </si>
  <si>
    <t>Kabupaten Sabu Raijua</t>
  </si>
  <si>
    <t>Kabupaten Rote Ndao</t>
  </si>
  <si>
    <t>Kabupaten Malaka</t>
  </si>
  <si>
    <t>Kabupaten Pulau Taliabu</t>
  </si>
  <si>
    <t>Kabupaten Pulau Morotai</t>
  </si>
  <si>
    <t>Kota Jayapura</t>
  </si>
  <si>
    <t>Kabupaten Biak Numfor</t>
  </si>
  <si>
    <t>Kabupaten Jayapura</t>
  </si>
  <si>
    <t>Kabupaten Kepulauan Yapen</t>
  </si>
  <si>
    <t>Kabupaten Mamberamo Raya</t>
  </si>
  <si>
    <t>Kabupaten Sarmi</t>
  </si>
  <si>
    <t>Kabupaten Supiori</t>
  </si>
  <si>
    <t>Kabupaten Keerom</t>
  </si>
  <si>
    <t>Kabupaten Waropen</t>
  </si>
  <si>
    <t>Kabupaten Raja Ampat</t>
  </si>
  <si>
    <t>Kabupaten Sorong</t>
  </si>
  <si>
    <t>Kabupaten Sorong Selatan</t>
  </si>
  <si>
    <t>Kabupaten Nabire</t>
  </si>
  <si>
    <t>Kabupaten Mimika</t>
  </si>
  <si>
    <t>Kabupaten Maybrat</t>
  </si>
  <si>
    <t>Kabupaten Tambrauw</t>
  </si>
  <si>
    <t>Kabupaten Deiyai</t>
  </si>
  <si>
    <t>Kabupaten Merauke</t>
  </si>
  <si>
    <t>Kabupaten Mamberamo Tengah</t>
  </si>
  <si>
    <t>Kabupaten Paniai</t>
  </si>
  <si>
    <t>Kabupaten Intan Jaya</t>
  </si>
  <si>
    <t>Kabupaten Jayawijaya</t>
  </si>
  <si>
    <t>Kabupaten Asmat</t>
  </si>
  <si>
    <t>Kabupaten Boven Digoel</t>
  </si>
  <si>
    <t>Kabupaten Dogiyai</t>
  </si>
  <si>
    <t>Kabupaten Puncak</t>
  </si>
  <si>
    <t>Kabupaten Mappi</t>
  </si>
  <si>
    <t>Kabupaten Yalimo</t>
  </si>
  <si>
    <t>Kabupaten Yahukimo</t>
  </si>
  <si>
    <t>Kabupaten Pegunungan Bintang</t>
  </si>
  <si>
    <t>Kabupaten Lanny Jaya</t>
  </si>
  <si>
    <t>Kabupaten Tolikara</t>
  </si>
  <si>
    <t>Kabupaten Puncak Jaya</t>
  </si>
  <si>
    <t>Kabupaten Nduga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</si>
</sst>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2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2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9B3642"/>
          <bgColor rgb="FF9B3642"/>
        </patternFill>
      </fill>
      <border/>
    </dxf>
  </dxfs>
  <tableStyles count="2">
    <tableStyle count="4" pivot="0" name="Provins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abKota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39" displayName="Provinsi" name="Provinsi" id="1">
  <tableColumns count="14">
    <tableColumn name="No" id="1"/>
    <tableColumn name="Regional" id="2"/>
    <tableColumn name="Daerah" id="3"/>
    <tableColumn name="IPM" id="4"/>
    <tableColumn name="IKF" id="5"/>
    <tableColumn name="TIK" id="6"/>
    <tableColumn name="IDI" id="7"/>
    <tableColumn name="Skor IPM" id="8"/>
    <tableColumn name="Skor IKF" id="9"/>
    <tableColumn name="Skor TIK" id="10"/>
    <tableColumn name="Skor IDI" id="11"/>
    <tableColumn name="Rata-rata Skor" id="12"/>
    <tableColumn name="Ranking Nasional" id="13"/>
    <tableColumn name="Ranking Regional" id="14"/>
  </tableColumns>
  <tableStyleInfo name="Provinsi-style" showColumnStripes="0" showFirstColumn="1" showLastColumn="1" showRowStripes="1"/>
</table>
</file>

<file path=xl/tables/table2.xml><?xml version="1.0" encoding="utf-8"?>
<table xmlns="http://schemas.openxmlformats.org/spreadsheetml/2006/main" ref="A1:O515" displayName="KabKota" name="KabKota" id="2">
  <tableColumns count="15">
    <tableColumn name="No" id="1"/>
    <tableColumn name="Regional" id="2"/>
    <tableColumn name="Provinsi" id="3"/>
    <tableColumn name="Kab/Kota" id="4"/>
    <tableColumn name="IPM" id="5"/>
    <tableColumn name="IKF" id="6"/>
    <tableColumn name="TIK" id="7"/>
    <tableColumn name="IDI" id="8"/>
    <tableColumn name="Skor IPM" id="9"/>
    <tableColumn name="Skor IKF" id="10"/>
    <tableColumn name="Skor TIK" id="11"/>
    <tableColumn name="Skor IDI" id="12"/>
    <tableColumn name="Rata-rata Skor" id="13"/>
    <tableColumn name="Ranking Nasional" id="14"/>
    <tableColumn name="Ranking Regional" id="15"/>
  </tableColumns>
  <tableStyleInfo name="KabKo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28.25"/>
    <col customWidth="1" min="3" max="3" width="27.75"/>
    <col customWidth="1" min="4" max="4" width="11.13"/>
    <col customWidth="1" min="5" max="5" width="13.25"/>
    <col customWidth="1" min="7" max="7" width="15.5"/>
    <col customWidth="1" min="8" max="8" width="14.88"/>
    <col customWidth="1" min="9" max="9" width="15.0"/>
    <col customWidth="1" min="10" max="10" width="14.5"/>
    <col customWidth="1" min="11" max="11" width="16.0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" t="s">
        <v>13</v>
      </c>
    </row>
    <row r="2" ht="22.5" customHeight="1">
      <c r="A2" s="5">
        <v>11.0</v>
      </c>
      <c r="B2" s="5" t="s">
        <v>14</v>
      </c>
      <c r="C2" s="6" t="s">
        <v>15</v>
      </c>
      <c r="D2" s="7">
        <v>85.05</v>
      </c>
      <c r="E2" s="8">
        <v>0.271</v>
      </c>
      <c r="F2" s="7">
        <v>7.88</v>
      </c>
      <c r="G2" s="7">
        <v>84.99</v>
      </c>
      <c r="H2" s="9">
        <f>(D2 - MIN(Provinsi[[#ALL],[IPM]])) / (MAX(Provinsi[[#ALL],[IPM]]) - MIN(Provinsi[[#ALL],[IPM]])) * 100</f>
        <v>100</v>
      </c>
      <c r="I2" s="9">
        <f>(E2 - MIN(Provinsi[[#ALL],[IKF]])) / (MAX(Provinsi[[#ALL],[IKF]]) - MIN(Provinsi[[#ALL],[IKF]])) * 100</f>
        <v>4.534005038</v>
      </c>
      <c r="J2" s="9">
        <f>(F2 - MIN(Provinsi[[#ALL],[TIK]])) / (MAX(Provinsi[[#ALL],[TIK]]) - MIN(Provinsi[[#ALL],[TIK]])) * 100</f>
        <v>100</v>
      </c>
      <c r="K2" s="9">
        <f>(G2 - MIN(Provinsi[[#ALL],[IDI]])) / (MAX(Provinsi[[#ALL],[IDI]]) - MIN(Provinsi[[#ALL],[IDI]])) * 100</f>
        <v>95.22689076</v>
      </c>
      <c r="L2" s="9">
        <f t="shared" ref="L2:L39" si="1">AVERAGE(H2:K2)</f>
        <v>74.94022395</v>
      </c>
      <c r="M2" s="6">
        <f>_xlfn.RANK.EQ(L2,Provinsi[Rata-rata Skor])</f>
        <v>1</v>
      </c>
      <c r="N2" s="6">
        <f>COUNTIFS(Provinsi[Regional], B2, Provinsi[Rata-rata Skor], "&gt;"&amp;L2) + 1</f>
        <v>1</v>
      </c>
    </row>
    <row r="3" ht="22.5" customHeight="1">
      <c r="A3" s="5">
        <v>14.0</v>
      </c>
      <c r="B3" s="5" t="s">
        <v>14</v>
      </c>
      <c r="C3" s="6" t="s">
        <v>16</v>
      </c>
      <c r="D3" s="7">
        <v>82.48</v>
      </c>
      <c r="E3" s="8">
        <v>0.618</v>
      </c>
      <c r="F3" s="7">
        <v>7.36</v>
      </c>
      <c r="G3" s="7">
        <v>89.25</v>
      </c>
      <c r="H3" s="9">
        <f>(D3 - MIN(Provinsi[[#ALL],[IPM]])) / (MAX(Provinsi[[#ALL],[IPM]]) - MIN(Provinsi[[#ALL],[IPM]])) * 100</f>
        <v>91.47312541</v>
      </c>
      <c r="I3" s="9">
        <f>(E3 - MIN(Provinsi[[#ALL],[IKF]])) / (MAX(Provinsi[[#ALL],[IKF]]) - MIN(Provinsi[[#ALL],[IKF]])) * 100</f>
        <v>19.1015953</v>
      </c>
      <c r="J3" s="9">
        <f>(F3 - MIN(Provinsi[[#ALL],[TIK]])) / (MAX(Provinsi[[#ALL],[TIK]]) - MIN(Provinsi[[#ALL],[TIK]])) * 100</f>
        <v>87.96296296</v>
      </c>
      <c r="K3" s="9">
        <f>(G3 - MIN(Provinsi[[#ALL],[IDI]])) / (MAX(Provinsi[[#ALL],[IDI]]) - MIN(Provinsi[[#ALL],[IDI]])) * 100</f>
        <v>100</v>
      </c>
      <c r="L3" s="9">
        <f t="shared" si="1"/>
        <v>74.63442092</v>
      </c>
      <c r="M3" s="6">
        <f>_xlfn.RANK.EQ(L3,Provinsi[Rata-rata Skor])</f>
        <v>2</v>
      </c>
      <c r="N3" s="6">
        <f>COUNTIFS(Provinsi[Regional], B3, Provinsi[Rata-rata Skor], "&gt;"&amp;L3) + 1</f>
        <v>2</v>
      </c>
    </row>
    <row r="4" ht="22.5" customHeight="1">
      <c r="A4" s="5">
        <v>17.0</v>
      </c>
      <c r="B4" s="5" t="s">
        <v>17</v>
      </c>
      <c r="C4" s="6" t="s">
        <v>18</v>
      </c>
      <c r="D4" s="7">
        <v>79.37</v>
      </c>
      <c r="E4" s="8">
        <v>1.096</v>
      </c>
      <c r="F4" s="7">
        <v>6.82</v>
      </c>
      <c r="G4" s="7">
        <v>88.34</v>
      </c>
      <c r="H4" s="9">
        <f>(D4 - MIN(Provinsi[[#ALL],[IPM]])) / (MAX(Provinsi[[#ALL],[IPM]]) - MIN(Provinsi[[#ALL],[IPM]])) * 100</f>
        <v>81.15461181</v>
      </c>
      <c r="I4" s="9">
        <f>(E4 - MIN(Provinsi[[#ALL],[IKF]])) / (MAX(Provinsi[[#ALL],[IKF]]) - MIN(Provinsi[[#ALL],[IKF]])) * 100</f>
        <v>39.16876574</v>
      </c>
      <c r="J4" s="9">
        <f>(F4 - MIN(Provinsi[[#ALL],[TIK]])) / (MAX(Provinsi[[#ALL],[TIK]]) - MIN(Provinsi[[#ALL],[TIK]])) * 100</f>
        <v>75.46296296</v>
      </c>
      <c r="K4" s="9">
        <f>(G4 - MIN(Provinsi[[#ALL],[IDI]])) / (MAX(Provinsi[[#ALL],[IDI]]) - MIN(Provinsi[[#ALL],[IDI]])) * 100</f>
        <v>98.98039216</v>
      </c>
      <c r="L4" s="9">
        <f t="shared" si="1"/>
        <v>73.69168317</v>
      </c>
      <c r="M4" s="6">
        <f>_xlfn.RANK.EQ(L4,Provinsi[Rata-rata Skor])</f>
        <v>3</v>
      </c>
      <c r="N4" s="6">
        <f>COUNTIFS(Provinsi[Regional], B4, Provinsi[Rata-rata Skor], "&gt;"&amp;L4) + 1</f>
        <v>1</v>
      </c>
    </row>
    <row r="5" ht="22.5" customHeight="1">
      <c r="A5" s="5">
        <v>12.0</v>
      </c>
      <c r="B5" s="5" t="s">
        <v>14</v>
      </c>
      <c r="C5" s="6" t="s">
        <v>19</v>
      </c>
      <c r="D5" s="7">
        <v>75.9</v>
      </c>
      <c r="E5" s="8">
        <v>1.413</v>
      </c>
      <c r="F5" s="7">
        <v>6.33</v>
      </c>
      <c r="G5" s="7">
        <v>82.8</v>
      </c>
      <c r="H5" s="9">
        <f>(D5 - MIN(Provinsi[[#ALL],[IPM]])) / (MAX(Provinsi[[#ALL],[IPM]]) - MIN(Provinsi[[#ALL],[IPM]])) * 100</f>
        <v>69.6416722</v>
      </c>
      <c r="I5" s="9">
        <f>(E5 - MIN(Provinsi[[#ALL],[IKF]])) / (MAX(Provinsi[[#ALL],[IKF]]) - MIN(Provinsi[[#ALL],[IKF]])) * 100</f>
        <v>52.47691016</v>
      </c>
      <c r="J5" s="9">
        <f>(F5 - MIN(Provinsi[[#ALL],[TIK]])) / (MAX(Provinsi[[#ALL],[TIK]]) - MIN(Provinsi[[#ALL],[TIK]])) * 100</f>
        <v>64.12037037</v>
      </c>
      <c r="K5" s="9">
        <f>(G5 - MIN(Provinsi[[#ALL],[IDI]])) / (MAX(Provinsi[[#ALL],[IDI]]) - MIN(Provinsi[[#ALL],[IDI]])) * 100</f>
        <v>92.77310924</v>
      </c>
      <c r="L5" s="9">
        <f t="shared" si="1"/>
        <v>69.75301549</v>
      </c>
      <c r="M5" s="6">
        <f>_xlfn.RANK.EQ(L5,Provinsi[Rata-rata Skor])</f>
        <v>4</v>
      </c>
      <c r="N5" s="6">
        <f>COUNTIFS(Provinsi[Regional], B5, Provinsi[Rata-rata Skor], "&gt;"&amp;L5) + 1</f>
        <v>3</v>
      </c>
    </row>
    <row r="6" ht="22.5" customHeight="1">
      <c r="A6" s="5">
        <v>2.0</v>
      </c>
      <c r="B6" s="5" t="s">
        <v>20</v>
      </c>
      <c r="C6" s="10" t="s">
        <v>21</v>
      </c>
      <c r="D6" s="7">
        <v>76.47</v>
      </c>
      <c r="E6" s="8">
        <v>1.473</v>
      </c>
      <c r="F6" s="7">
        <v>6.2</v>
      </c>
      <c r="G6" s="7">
        <v>80.19</v>
      </c>
      <c r="H6" s="9">
        <f>(D6 - MIN(Provinsi[[#ALL],[IPM]])) / (MAX(Provinsi[[#ALL],[IPM]]) - MIN(Provinsi[[#ALL],[IPM]])) * 100</f>
        <v>71.53284672</v>
      </c>
      <c r="I6" s="9">
        <f>(E6 - MIN(Provinsi[[#ALL],[IKF]])) / (MAX(Provinsi[[#ALL],[IKF]]) - MIN(Provinsi[[#ALL],[IKF]])) * 100</f>
        <v>54.99580185</v>
      </c>
      <c r="J6" s="9">
        <f>(F6 - MIN(Provinsi[[#ALL],[TIK]])) / (MAX(Provinsi[[#ALL],[TIK]]) - MIN(Provinsi[[#ALL],[TIK]])) * 100</f>
        <v>61.11111111</v>
      </c>
      <c r="K6" s="9">
        <f>(G6 - MIN(Provinsi[[#ALL],[IDI]])) / (MAX(Provinsi[[#ALL],[IDI]]) - MIN(Provinsi[[#ALL],[IDI]])) * 100</f>
        <v>89.8487395</v>
      </c>
      <c r="L6" s="9">
        <f t="shared" si="1"/>
        <v>69.37212479</v>
      </c>
      <c r="M6" s="6">
        <f>_xlfn.RANK.EQ(L6,Provinsi[Rata-rata Skor])</f>
        <v>5</v>
      </c>
      <c r="N6" s="6">
        <f>COUNTIFS(Provinsi[Regional], B6, Provinsi[Rata-rata Skor], "&gt;"&amp;L6) + 1</f>
        <v>1</v>
      </c>
    </row>
    <row r="7" ht="22.5" customHeight="1">
      <c r="A7" s="5">
        <v>16.0</v>
      </c>
      <c r="B7" s="5" t="s">
        <v>14</v>
      </c>
      <c r="C7" s="6" t="s">
        <v>22</v>
      </c>
      <c r="D7" s="7">
        <v>77.25</v>
      </c>
      <c r="E7" s="8">
        <v>1.348</v>
      </c>
      <c r="F7" s="7">
        <v>6.46</v>
      </c>
      <c r="G7" s="7">
        <v>76.87</v>
      </c>
      <c r="H7" s="9">
        <f>(D7 - MIN(Provinsi[[#ALL],[IPM]])) / (MAX(Provinsi[[#ALL],[IPM]]) - MIN(Provinsi[[#ALL],[IPM]])) * 100</f>
        <v>74.12076974</v>
      </c>
      <c r="I7" s="9">
        <f>(E7 - MIN(Provinsi[[#ALL],[IKF]])) / (MAX(Provinsi[[#ALL],[IKF]]) - MIN(Provinsi[[#ALL],[IKF]])) * 100</f>
        <v>49.74811083</v>
      </c>
      <c r="J7" s="9">
        <f>(F7 - MIN(Provinsi[[#ALL],[TIK]])) / (MAX(Provinsi[[#ALL],[TIK]]) - MIN(Provinsi[[#ALL],[TIK]])) * 100</f>
        <v>67.12962963</v>
      </c>
      <c r="K7" s="9">
        <f>(G7 - MIN(Provinsi[[#ALL],[IDI]])) / (MAX(Provinsi[[#ALL],[IDI]]) - MIN(Provinsi[[#ALL],[IDI]])) * 100</f>
        <v>86.12885154</v>
      </c>
      <c r="L7" s="9">
        <f t="shared" si="1"/>
        <v>69.28184044</v>
      </c>
      <c r="M7" s="6">
        <f>_xlfn.RANK.EQ(L7,Provinsi[Rata-rata Skor])</f>
        <v>6</v>
      </c>
      <c r="N7" s="6">
        <f>COUNTIFS(Provinsi[Regional], B7, Provinsi[Rata-rata Skor], "&gt;"&amp;L7) + 1</f>
        <v>4</v>
      </c>
    </row>
    <row r="8" ht="22.5" customHeight="1">
      <c r="A8" s="5">
        <v>15.0</v>
      </c>
      <c r="B8" s="5" t="s">
        <v>14</v>
      </c>
      <c r="C8" s="6" t="s">
        <v>23</v>
      </c>
      <c r="D8" s="7">
        <v>76.13</v>
      </c>
      <c r="E8" s="8">
        <v>1.444</v>
      </c>
      <c r="F8" s="7">
        <v>6.07</v>
      </c>
      <c r="G8" s="7">
        <v>84.17</v>
      </c>
      <c r="H8" s="9">
        <f>(D8 - MIN(Provinsi[[#ALL],[IPM]])) / (MAX(Provinsi[[#ALL],[IPM]]) - MIN(Provinsi[[#ALL],[IPM]])) * 100</f>
        <v>70.4047777</v>
      </c>
      <c r="I8" s="9">
        <f>(E8 - MIN(Provinsi[[#ALL],[IKF]])) / (MAX(Provinsi[[#ALL],[IKF]]) - MIN(Provinsi[[#ALL],[IKF]])) * 100</f>
        <v>53.77833753</v>
      </c>
      <c r="J8" s="9">
        <f>(F8 - MIN(Provinsi[[#ALL],[TIK]])) / (MAX(Provinsi[[#ALL],[TIK]]) - MIN(Provinsi[[#ALL],[TIK]])) * 100</f>
        <v>58.10185185</v>
      </c>
      <c r="K8" s="9">
        <f>(G8 - MIN(Provinsi[[#ALL],[IDI]])) / (MAX(Provinsi[[#ALL],[IDI]]) - MIN(Provinsi[[#ALL],[IDI]])) * 100</f>
        <v>94.30812325</v>
      </c>
      <c r="L8" s="9">
        <f t="shared" si="1"/>
        <v>69.14827258</v>
      </c>
      <c r="M8" s="6">
        <f>_xlfn.RANK.EQ(L8,Provinsi[Rata-rata Skor])</f>
        <v>7</v>
      </c>
      <c r="N8" s="6">
        <f>COUNTIFS(Provinsi[Regional], B8, Provinsi[Rata-rata Skor], "&gt;"&amp;L8) + 1</f>
        <v>5</v>
      </c>
    </row>
    <row r="9" ht="22.5" customHeight="1">
      <c r="A9" s="5">
        <v>10.0</v>
      </c>
      <c r="B9" s="5" t="s">
        <v>20</v>
      </c>
      <c r="C9" s="6" t="s">
        <v>24</v>
      </c>
      <c r="D9" s="7">
        <v>80.53</v>
      </c>
      <c r="E9" s="8">
        <v>0.74</v>
      </c>
      <c r="F9" s="7">
        <v>6.8</v>
      </c>
      <c r="G9" s="7">
        <v>80.83</v>
      </c>
      <c r="H9" s="9">
        <f>(D9 - MIN(Provinsi[[#ALL],[IPM]])) / (MAX(Provinsi[[#ALL],[IPM]]) - MIN(Provinsi[[#ALL],[IPM]])) * 100</f>
        <v>85.00331785</v>
      </c>
      <c r="I9" s="9">
        <f>(E9 - MIN(Provinsi[[#ALL],[IKF]])) / (MAX(Provinsi[[#ALL],[IKF]]) - MIN(Provinsi[[#ALL],[IKF]])) * 100</f>
        <v>24.22334173</v>
      </c>
      <c r="J9" s="9">
        <f>(F9 - MIN(Provinsi[[#ALL],[TIK]])) / (MAX(Provinsi[[#ALL],[TIK]]) - MIN(Provinsi[[#ALL],[TIK]])) * 100</f>
        <v>75</v>
      </c>
      <c r="K9" s="9">
        <f>(G9 - MIN(Provinsi[[#ALL],[IDI]])) / (MAX(Provinsi[[#ALL],[IDI]]) - MIN(Provinsi[[#ALL],[IDI]])) * 100</f>
        <v>90.56582633</v>
      </c>
      <c r="L9" s="9">
        <f t="shared" si="1"/>
        <v>68.69812148</v>
      </c>
      <c r="M9" s="6">
        <f>_xlfn.RANK.EQ(L9,Provinsi[Rata-rata Skor])</f>
        <v>8</v>
      </c>
      <c r="N9" s="6">
        <f>COUNTIFS(Provinsi[Regional], B9, Provinsi[Rata-rata Skor], "&gt;"&amp;L9) + 1</f>
        <v>2</v>
      </c>
    </row>
    <row r="10" ht="22.5" customHeight="1">
      <c r="A10" s="5">
        <v>34.0</v>
      </c>
      <c r="B10" s="5" t="s">
        <v>25</v>
      </c>
      <c r="C10" s="6" t="s">
        <v>26</v>
      </c>
      <c r="D10" s="7">
        <v>70.55</v>
      </c>
      <c r="E10" s="8">
        <v>2.545</v>
      </c>
      <c r="F10" s="7">
        <v>5.61</v>
      </c>
      <c r="G10" s="7">
        <v>64.74</v>
      </c>
      <c r="H10" s="9">
        <f>(D10 - MIN(Provinsi[[#ALL],[IPM]])) / (MAX(Provinsi[[#ALL],[IPM]]) - MIN(Provinsi[[#ALL],[IPM]])) * 100</f>
        <v>51.89117452</v>
      </c>
      <c r="I10" s="9">
        <f>(E10 - MIN(Provinsi[[#ALL],[IKF]])) / (MAX(Provinsi[[#ALL],[IKF]]) - MIN(Provinsi[[#ALL],[IKF]])) * 100</f>
        <v>100</v>
      </c>
      <c r="J10" s="9">
        <f>(F10 - MIN(Provinsi[[#ALL],[TIK]])) / (MAX(Provinsi[[#ALL],[TIK]]) - MIN(Provinsi[[#ALL],[TIK]])) * 100</f>
        <v>47.4537037</v>
      </c>
      <c r="K10" s="9">
        <f>(G10 - MIN(Provinsi[[#ALL],[IDI]])) / (MAX(Provinsi[[#ALL],[IDI]]) - MIN(Provinsi[[#ALL],[IDI]])) * 100</f>
        <v>72.53781513</v>
      </c>
      <c r="L10" s="9">
        <f t="shared" si="1"/>
        <v>67.97067334</v>
      </c>
      <c r="M10" s="6">
        <f>_xlfn.RANK.EQ(L10,Provinsi[Rata-rata Skor])</f>
        <v>9</v>
      </c>
      <c r="N10" s="6">
        <f>COUNTIFS(Provinsi[Regional], B10, Provinsi[Rata-rata Skor], "&gt;"&amp;L10) + 1</f>
        <v>1</v>
      </c>
    </row>
    <row r="11" ht="22.5" customHeight="1">
      <c r="A11" s="5">
        <v>23.0</v>
      </c>
      <c r="B11" s="5" t="s">
        <v>27</v>
      </c>
      <c r="C11" s="6" t="s">
        <v>28</v>
      </c>
      <c r="D11" s="7">
        <v>79.39</v>
      </c>
      <c r="E11" s="8">
        <v>0.47</v>
      </c>
      <c r="F11" s="7">
        <v>6.73</v>
      </c>
      <c r="G11" s="7">
        <v>80.69</v>
      </c>
      <c r="H11" s="9">
        <f>(D11 - MIN(Provinsi[[#ALL],[IPM]])) / (MAX(Provinsi[[#ALL],[IPM]]) - MIN(Provinsi[[#ALL],[IPM]])) * 100</f>
        <v>81.22096881</v>
      </c>
      <c r="I11" s="9">
        <f>(E11 - MIN(Provinsi[[#ALL],[IKF]])) / (MAX(Provinsi[[#ALL],[IKF]]) - MIN(Provinsi[[#ALL],[IKF]])) * 100</f>
        <v>12.88832914</v>
      </c>
      <c r="J11" s="9">
        <f>(F11 - MIN(Provinsi[[#ALL],[TIK]])) / (MAX(Provinsi[[#ALL],[TIK]]) - MIN(Provinsi[[#ALL],[TIK]])) * 100</f>
        <v>73.37962963</v>
      </c>
      <c r="K11" s="9">
        <f>(G11 - MIN(Provinsi[[#ALL],[IDI]])) / (MAX(Provinsi[[#ALL],[IDI]]) - MIN(Provinsi[[#ALL],[IDI]])) * 100</f>
        <v>90.40896359</v>
      </c>
      <c r="L11" s="9">
        <f t="shared" si="1"/>
        <v>64.47447279</v>
      </c>
      <c r="M11" s="6">
        <f>_xlfn.RANK.EQ(L11,Provinsi[Rata-rata Skor])</f>
        <v>10</v>
      </c>
      <c r="N11" s="6">
        <f>COUNTIFS(Provinsi[Regional], B11, Provinsi[Rata-rata Skor], "&gt;"&amp;L11) + 1</f>
        <v>1</v>
      </c>
    </row>
    <row r="12" ht="22.5" customHeight="1">
      <c r="A12" s="5">
        <v>6.0</v>
      </c>
      <c r="B12" s="5" t="s">
        <v>20</v>
      </c>
      <c r="C12" s="6" t="s">
        <v>29</v>
      </c>
      <c r="D12" s="7">
        <v>74.76</v>
      </c>
      <c r="E12" s="8">
        <v>1.098</v>
      </c>
      <c r="F12" s="7">
        <v>5.97</v>
      </c>
      <c r="G12" s="7">
        <v>82.71</v>
      </c>
      <c r="H12" s="9">
        <f>(D12 - MIN(Provinsi[[#ALL],[IPM]])) / (MAX(Provinsi[[#ALL],[IPM]]) - MIN(Provinsi[[#ALL],[IPM]])) * 100</f>
        <v>65.85932316</v>
      </c>
      <c r="I12" s="9">
        <f>(E12 - MIN(Provinsi[[#ALL],[IKF]])) / (MAX(Provinsi[[#ALL],[IKF]]) - MIN(Provinsi[[#ALL],[IKF]])) * 100</f>
        <v>39.2527288</v>
      </c>
      <c r="J12" s="9">
        <f>(F12 - MIN(Provinsi[[#ALL],[TIK]])) / (MAX(Provinsi[[#ALL],[TIK]]) - MIN(Provinsi[[#ALL],[TIK]])) * 100</f>
        <v>55.78703704</v>
      </c>
      <c r="K12" s="9">
        <f>(G12 - MIN(Provinsi[[#ALL],[IDI]])) / (MAX(Provinsi[[#ALL],[IDI]]) - MIN(Provinsi[[#ALL],[IDI]])) * 100</f>
        <v>92.67226891</v>
      </c>
      <c r="L12" s="9">
        <f t="shared" si="1"/>
        <v>63.39283948</v>
      </c>
      <c r="M12" s="6">
        <f>_xlfn.RANK.EQ(L12,Provinsi[Rata-rata Skor])</f>
        <v>11</v>
      </c>
      <c r="N12" s="6">
        <f>COUNTIFS(Provinsi[Regional], B12, Provinsi[Rata-rata Skor], "&gt;"&amp;L12) + 1</f>
        <v>3</v>
      </c>
    </row>
    <row r="13" ht="22.5" customHeight="1">
      <c r="A13" s="5">
        <v>13.0</v>
      </c>
      <c r="B13" s="5" t="s">
        <v>14</v>
      </c>
      <c r="C13" s="6" t="s">
        <v>30</v>
      </c>
      <c r="D13" s="7">
        <v>74.77</v>
      </c>
      <c r="E13" s="8">
        <v>1.004</v>
      </c>
      <c r="F13" s="7">
        <v>5.98</v>
      </c>
      <c r="G13" s="7">
        <v>85.84</v>
      </c>
      <c r="H13" s="9">
        <f>(D13 - MIN(Provinsi[[#ALL],[IPM]])) / (MAX(Provinsi[[#ALL],[IPM]]) - MIN(Provinsi[[#ALL],[IPM]])) * 100</f>
        <v>65.89250166</v>
      </c>
      <c r="I13" s="9">
        <f>(E13 - MIN(Provinsi[[#ALL],[IKF]])) / (MAX(Provinsi[[#ALL],[IKF]]) - MIN(Provinsi[[#ALL],[IKF]])) * 100</f>
        <v>35.30646516</v>
      </c>
      <c r="J13" s="9">
        <f>(F13 - MIN(Provinsi[[#ALL],[TIK]])) / (MAX(Provinsi[[#ALL],[TIK]]) - MIN(Provinsi[[#ALL],[TIK]])) * 100</f>
        <v>56.01851852</v>
      </c>
      <c r="K13" s="9">
        <f>(G13 - MIN(Provinsi[[#ALL],[IDI]])) / (MAX(Provinsi[[#ALL],[IDI]]) - MIN(Provinsi[[#ALL],[IDI]])) * 100</f>
        <v>96.17927171</v>
      </c>
      <c r="L13" s="9">
        <f t="shared" si="1"/>
        <v>63.34918926</v>
      </c>
      <c r="M13" s="6">
        <f>_xlfn.RANK.EQ(L13,Provinsi[Rata-rata Skor])</f>
        <v>12</v>
      </c>
      <c r="N13" s="6">
        <f>COUNTIFS(Provinsi[Regional], B13, Provinsi[Rata-rata Skor], "&gt;"&amp;L13) + 1</f>
        <v>6</v>
      </c>
    </row>
    <row r="14" ht="22.5" customHeight="1">
      <c r="A14" s="5">
        <v>27.0</v>
      </c>
      <c r="B14" s="5" t="s">
        <v>31</v>
      </c>
      <c r="C14" s="6" t="s">
        <v>32</v>
      </c>
      <c r="D14" s="7">
        <v>75.92</v>
      </c>
      <c r="E14" s="8">
        <v>0.874</v>
      </c>
      <c r="F14" s="7">
        <v>6.21</v>
      </c>
      <c r="G14" s="7">
        <v>78.93</v>
      </c>
      <c r="H14" s="9">
        <f>(D14 - MIN(Provinsi[[#ALL],[IPM]])) / (MAX(Provinsi[[#ALL],[IPM]]) - MIN(Provinsi[[#ALL],[IPM]])) * 100</f>
        <v>69.7080292</v>
      </c>
      <c r="I14" s="9">
        <f>(E14 - MIN(Provinsi[[#ALL],[IKF]])) / (MAX(Provinsi[[#ALL],[IKF]]) - MIN(Provinsi[[#ALL],[IKF]])) * 100</f>
        <v>29.8488665</v>
      </c>
      <c r="J14" s="9">
        <f>(F14 - MIN(Provinsi[[#ALL],[TIK]])) / (MAX(Provinsi[[#ALL],[TIK]]) - MIN(Provinsi[[#ALL],[TIK]])) * 100</f>
        <v>61.34259259</v>
      </c>
      <c r="K14" s="9">
        <f>(G14 - MIN(Provinsi[[#ALL],[IDI]])) / (MAX(Provinsi[[#ALL],[IDI]]) - MIN(Provinsi[[#ALL],[IDI]])) * 100</f>
        <v>88.43697479</v>
      </c>
      <c r="L14" s="9">
        <f t="shared" si="1"/>
        <v>62.33411577</v>
      </c>
      <c r="M14" s="6">
        <f>_xlfn.RANK.EQ(L14,Provinsi[Rata-rata Skor])</f>
        <v>13</v>
      </c>
      <c r="N14" s="6">
        <f>COUNTIFS(Provinsi[Regional], B14, Provinsi[Rata-rata Skor], "&gt;"&amp;L14) + 1</f>
        <v>1</v>
      </c>
    </row>
    <row r="15" ht="22.5" customHeight="1">
      <c r="A15" s="5">
        <v>4.0</v>
      </c>
      <c r="B15" s="5" t="s">
        <v>20</v>
      </c>
      <c r="C15" s="6" t="s">
        <v>33</v>
      </c>
      <c r="D15" s="7">
        <v>76.31</v>
      </c>
      <c r="E15" s="8">
        <v>0.747</v>
      </c>
      <c r="F15" s="7">
        <v>6.27</v>
      </c>
      <c r="G15" s="7">
        <v>77.06</v>
      </c>
      <c r="H15" s="9">
        <f>(D15 - MIN(Provinsi[[#ALL],[IPM]])) / (MAX(Provinsi[[#ALL],[IPM]]) - MIN(Provinsi[[#ALL],[IPM]])) * 100</f>
        <v>71.00199071</v>
      </c>
      <c r="I15" s="9">
        <f>(E15 - MIN(Provinsi[[#ALL],[IKF]])) / (MAX(Provinsi[[#ALL],[IKF]]) - MIN(Provinsi[[#ALL],[IKF]])) * 100</f>
        <v>24.51721243</v>
      </c>
      <c r="J15" s="9">
        <f>(F15 - MIN(Provinsi[[#ALL],[TIK]])) / (MAX(Provinsi[[#ALL],[TIK]]) - MIN(Provinsi[[#ALL],[TIK]])) * 100</f>
        <v>62.73148148</v>
      </c>
      <c r="K15" s="9">
        <f>(G15 - MIN(Provinsi[[#ALL],[IDI]])) / (MAX(Provinsi[[#ALL],[IDI]]) - MIN(Provinsi[[#ALL],[IDI]])) * 100</f>
        <v>86.34173669</v>
      </c>
      <c r="L15" s="9">
        <f t="shared" si="1"/>
        <v>61.14810533</v>
      </c>
      <c r="M15" s="6">
        <f>_xlfn.RANK.EQ(L15,Provinsi[Rata-rata Skor])</f>
        <v>14</v>
      </c>
      <c r="N15" s="6">
        <f>COUNTIFS(Provinsi[Regional], B15, Provinsi[Rata-rata Skor], "&gt;"&amp;L15) + 1</f>
        <v>4</v>
      </c>
    </row>
    <row r="16" ht="22.5" customHeight="1">
      <c r="A16" s="5">
        <v>3.0</v>
      </c>
      <c r="B16" s="5" t="s">
        <v>20</v>
      </c>
      <c r="C16" s="6" t="s">
        <v>34</v>
      </c>
      <c r="D16" s="7">
        <v>77.27</v>
      </c>
      <c r="E16" s="8">
        <v>0.535</v>
      </c>
      <c r="F16" s="7">
        <v>6.27</v>
      </c>
      <c r="G16" s="7">
        <v>78.83</v>
      </c>
      <c r="H16" s="9">
        <f>(D16 - MIN(Provinsi[[#ALL],[IPM]])) / (MAX(Provinsi[[#ALL],[IPM]]) - MIN(Provinsi[[#ALL],[IPM]])) * 100</f>
        <v>74.18712674</v>
      </c>
      <c r="I16" s="9">
        <f>(E16 - MIN(Provinsi[[#ALL],[IKF]])) / (MAX(Provinsi[[#ALL],[IKF]]) - MIN(Provinsi[[#ALL],[IKF]])) * 100</f>
        <v>15.61712846</v>
      </c>
      <c r="J16" s="9">
        <f>(F16 - MIN(Provinsi[[#ALL],[TIK]])) / (MAX(Provinsi[[#ALL],[TIK]]) - MIN(Provinsi[[#ALL],[TIK]])) * 100</f>
        <v>62.73148148</v>
      </c>
      <c r="K16" s="9">
        <f>(G16 - MIN(Provinsi[[#ALL],[IDI]])) / (MAX(Provinsi[[#ALL],[IDI]]) - MIN(Provinsi[[#ALL],[IDI]])) * 100</f>
        <v>88.32492997</v>
      </c>
      <c r="L16" s="9">
        <f t="shared" si="1"/>
        <v>60.21516666</v>
      </c>
      <c r="M16" s="6">
        <f>_xlfn.RANK.EQ(L16,Provinsi[Rata-rata Skor])</f>
        <v>15</v>
      </c>
      <c r="N16" s="6">
        <f>COUNTIFS(Provinsi[Regional], B16, Provinsi[Rata-rata Skor], "&gt;"&amp;L16) + 1</f>
        <v>5</v>
      </c>
    </row>
    <row r="17" ht="22.5" customHeight="1">
      <c r="A17" s="5">
        <v>20.0</v>
      </c>
      <c r="B17" s="5" t="s">
        <v>27</v>
      </c>
      <c r="C17" s="6" t="s">
        <v>35</v>
      </c>
      <c r="D17" s="7">
        <v>72.09</v>
      </c>
      <c r="E17" s="8">
        <v>0.907</v>
      </c>
      <c r="F17" s="7">
        <v>5.9</v>
      </c>
      <c r="G17" s="7">
        <v>86.17</v>
      </c>
      <c r="H17" s="9">
        <f>(D17 - MIN(Provinsi[[#ALL],[IPM]])) / (MAX(Provinsi[[#ALL],[IPM]]) - MIN(Provinsi[[#ALL],[IPM]])) * 100</f>
        <v>57.00066357</v>
      </c>
      <c r="I17" s="9">
        <f>(E17 - MIN(Provinsi[[#ALL],[IKF]])) / (MAX(Provinsi[[#ALL],[IKF]]) - MIN(Provinsi[[#ALL],[IKF]])) * 100</f>
        <v>31.23425693</v>
      </c>
      <c r="J17" s="9">
        <f>(F17 - MIN(Provinsi[[#ALL],[TIK]])) / (MAX(Provinsi[[#ALL],[TIK]]) - MIN(Provinsi[[#ALL],[TIK]])) * 100</f>
        <v>54.16666667</v>
      </c>
      <c r="K17" s="9">
        <f>(G17 - MIN(Provinsi[[#ALL],[IDI]])) / (MAX(Provinsi[[#ALL],[IDI]]) - MIN(Provinsi[[#ALL],[IDI]])) * 100</f>
        <v>96.54901961</v>
      </c>
      <c r="L17" s="9">
        <f t="shared" si="1"/>
        <v>59.73765169</v>
      </c>
      <c r="M17" s="6">
        <f>_xlfn.RANK.EQ(L17,Provinsi[Rata-rata Skor])</f>
        <v>16</v>
      </c>
      <c r="N17" s="6">
        <f>COUNTIFS(Provinsi[Regional], B17, Provinsi[Rata-rata Skor], "&gt;"&amp;L17) + 1</f>
        <v>2</v>
      </c>
    </row>
    <row r="18" ht="22.5" customHeight="1">
      <c r="A18" s="5">
        <v>1.0</v>
      </c>
      <c r="B18" s="5" t="s">
        <v>20</v>
      </c>
      <c r="C18" s="10" t="s">
        <v>36</v>
      </c>
      <c r="D18" s="7">
        <v>76.23</v>
      </c>
      <c r="E18" s="8">
        <v>0.788</v>
      </c>
      <c r="F18" s="7">
        <v>5.97</v>
      </c>
      <c r="G18" s="7">
        <v>75.8</v>
      </c>
      <c r="H18" s="7">
        <f>(D18 - MIN(Provinsi[[#ALL],[IPM]])) / (MAX(Provinsi[[#ALL],[IPM]]) - MIN(Provinsi[[#ALL],[IPM]])) * 100</f>
        <v>70.73656271</v>
      </c>
      <c r="I18" s="7">
        <f>(E18 - MIN(Provinsi[[#ALL],[IKF]])) / (MAX(Provinsi[[#ALL],[IKF]]) - MIN(Provinsi[[#ALL],[IKF]])) * 100</f>
        <v>26.23845508</v>
      </c>
      <c r="J18" s="7">
        <f>(F18 - MIN(Provinsi[[#ALL],[TIK]])) / (MAX(Provinsi[[#ALL],[TIK]]) - MIN(Provinsi[[#ALL],[TIK]])) * 100</f>
        <v>55.78703704</v>
      </c>
      <c r="K18" s="7">
        <f>(G18 - MIN(Provinsi[[#ALL],[IDI]])) / (MAX(Provinsi[[#ALL],[IDI]]) - MIN(Provinsi[[#ALL],[IDI]])) * 100</f>
        <v>84.92997199</v>
      </c>
      <c r="L18" s="9">
        <f t="shared" si="1"/>
        <v>59.4230067</v>
      </c>
      <c r="M18" s="11">
        <f>_xlfn.RANK.EQ(L18,Provinsi[Rata-rata Skor])</f>
        <v>17</v>
      </c>
      <c r="N18" s="6">
        <f>COUNTIFS(Provinsi[Regional], B18, Provinsi[Rata-rata Skor], "&gt;"&amp;L18) + 1</f>
        <v>6</v>
      </c>
    </row>
    <row r="19" ht="22.5" customHeight="1">
      <c r="A19" s="5">
        <v>25.0</v>
      </c>
      <c r="B19" s="5" t="s">
        <v>31</v>
      </c>
      <c r="C19" s="6" t="s">
        <v>37</v>
      </c>
      <c r="D19" s="7">
        <v>76.32</v>
      </c>
      <c r="E19" s="8">
        <v>0.55</v>
      </c>
      <c r="F19" s="7">
        <v>6.03</v>
      </c>
      <c r="G19" s="7">
        <v>81.87</v>
      </c>
      <c r="H19" s="9">
        <f>(D19 - MIN(Provinsi[[#ALL],[IPM]])) / (MAX(Provinsi[[#ALL],[IPM]]) - MIN(Provinsi[[#ALL],[IPM]])) * 100</f>
        <v>71.03516921</v>
      </c>
      <c r="I19" s="9">
        <f>(E19 - MIN(Provinsi[[#ALL],[IKF]])) / (MAX(Provinsi[[#ALL],[IKF]]) - MIN(Provinsi[[#ALL],[IKF]])) * 100</f>
        <v>16.24685139</v>
      </c>
      <c r="J19" s="9">
        <f>(F19 - MIN(Provinsi[[#ALL],[TIK]])) / (MAX(Provinsi[[#ALL],[TIK]]) - MIN(Provinsi[[#ALL],[TIK]])) * 100</f>
        <v>57.17592593</v>
      </c>
      <c r="K19" s="9">
        <f>(G19 - MIN(Provinsi[[#ALL],[IDI]])) / (MAX(Provinsi[[#ALL],[IDI]]) - MIN(Provinsi[[#ALL],[IDI]])) * 100</f>
        <v>91.73109244</v>
      </c>
      <c r="L19" s="9">
        <f t="shared" si="1"/>
        <v>59.04725974</v>
      </c>
      <c r="M19" s="6">
        <f>_xlfn.RANK.EQ(L19,Provinsi[Rata-rata Skor])</f>
        <v>18</v>
      </c>
      <c r="N19" s="6">
        <f>COUNTIFS(Provinsi[Regional], B19, Provinsi[Rata-rata Skor], "&gt;"&amp;L19) + 1</f>
        <v>2</v>
      </c>
    </row>
    <row r="20" ht="22.5" customHeight="1">
      <c r="A20" s="5">
        <v>5.0</v>
      </c>
      <c r="B20" s="5" t="s">
        <v>20</v>
      </c>
      <c r="C20" s="6" t="s">
        <v>38</v>
      </c>
      <c r="D20" s="7">
        <v>75.13</v>
      </c>
      <c r="E20" s="8">
        <v>0.574</v>
      </c>
      <c r="F20" s="7">
        <v>6.03</v>
      </c>
      <c r="G20" s="7">
        <v>82.27</v>
      </c>
      <c r="H20" s="9">
        <f>(D20 - MIN(Provinsi[[#ALL],[IPM]])) / (MAX(Provinsi[[#ALL],[IPM]]) - MIN(Provinsi[[#ALL],[IPM]])) * 100</f>
        <v>67.08692767</v>
      </c>
      <c r="I20" s="9">
        <f>(E20 - MIN(Provinsi[[#ALL],[IKF]])) / (MAX(Provinsi[[#ALL],[IKF]]) - MIN(Provinsi[[#ALL],[IKF]])) * 100</f>
        <v>17.25440806</v>
      </c>
      <c r="J20" s="9">
        <f>(F20 - MIN(Provinsi[[#ALL],[TIK]])) / (MAX(Provinsi[[#ALL],[TIK]]) - MIN(Provinsi[[#ALL],[TIK]])) * 100</f>
        <v>57.17592593</v>
      </c>
      <c r="K20" s="9">
        <f>(G20 - MIN(Provinsi[[#ALL],[IDI]])) / (MAX(Provinsi[[#ALL],[IDI]]) - MIN(Provinsi[[#ALL],[IDI]])) * 100</f>
        <v>92.17927171</v>
      </c>
      <c r="L20" s="9">
        <f t="shared" si="1"/>
        <v>58.42413334</v>
      </c>
      <c r="M20" s="6">
        <f>_xlfn.RANK.EQ(L20,Provinsi[Rata-rata Skor])</f>
        <v>19</v>
      </c>
      <c r="N20" s="6">
        <f>COUNTIFS(Provinsi[Regional], B20, Provinsi[Rata-rata Skor], "&gt;"&amp;L20) + 1</f>
        <v>7</v>
      </c>
    </row>
    <row r="21" ht="22.5" customHeight="1">
      <c r="A21" s="5">
        <v>7.0</v>
      </c>
      <c r="B21" s="5" t="s">
        <v>20</v>
      </c>
      <c r="C21" s="6" t="s">
        <v>39</v>
      </c>
      <c r="D21" s="7">
        <v>75.68</v>
      </c>
      <c r="E21" s="8">
        <v>0.432</v>
      </c>
      <c r="F21" s="7">
        <v>6.19</v>
      </c>
      <c r="G21" s="7">
        <v>79.66</v>
      </c>
      <c r="H21" s="9">
        <f>(D21 - MIN(Provinsi[[#ALL],[IPM]])) / (MAX(Provinsi[[#ALL],[IPM]]) - MIN(Provinsi[[#ALL],[IPM]])) * 100</f>
        <v>68.91174519</v>
      </c>
      <c r="I21" s="9">
        <f>(E21 - MIN(Provinsi[[#ALL],[IKF]])) / (MAX(Provinsi[[#ALL],[IKF]]) - MIN(Provinsi[[#ALL],[IKF]])) * 100</f>
        <v>11.29303107</v>
      </c>
      <c r="J21" s="9">
        <f>(F21 - MIN(Provinsi[[#ALL],[TIK]])) / (MAX(Provinsi[[#ALL],[TIK]]) - MIN(Provinsi[[#ALL],[TIK]])) * 100</f>
        <v>60.87962963</v>
      </c>
      <c r="K21" s="9">
        <f>(G21 - MIN(Provinsi[[#ALL],[IDI]])) / (MAX(Provinsi[[#ALL],[IDI]]) - MIN(Provinsi[[#ALL],[IDI]])) * 100</f>
        <v>89.25490196</v>
      </c>
      <c r="L21" s="9">
        <f t="shared" si="1"/>
        <v>57.58482696</v>
      </c>
      <c r="M21" s="6">
        <f>_xlfn.RANK.EQ(L21,Provinsi[Rata-rata Skor])</f>
        <v>20</v>
      </c>
      <c r="N21" s="6">
        <f>COUNTIFS(Provinsi[Regional], B21, Provinsi[Rata-rata Skor], "&gt;"&amp;L21) + 1</f>
        <v>8</v>
      </c>
    </row>
    <row r="22" ht="22.5" customHeight="1">
      <c r="A22" s="5">
        <v>21.0</v>
      </c>
      <c r="B22" s="5" t="s">
        <v>27</v>
      </c>
      <c r="C22" s="6" t="s">
        <v>40</v>
      </c>
      <c r="D22" s="7">
        <v>74.86</v>
      </c>
      <c r="E22" s="8">
        <v>0.607</v>
      </c>
      <c r="F22" s="7">
        <v>6.02</v>
      </c>
      <c r="G22" s="7">
        <v>78.47</v>
      </c>
      <c r="H22" s="9">
        <f>(D22 - MIN(Provinsi[[#ALL],[IPM]])) / (MAX(Provinsi[[#ALL],[IPM]]) - MIN(Provinsi[[#ALL],[IPM]])) * 100</f>
        <v>66.19110816</v>
      </c>
      <c r="I22" s="9">
        <f>(E22 - MIN(Provinsi[[#ALL],[IKF]])) / (MAX(Provinsi[[#ALL],[IKF]]) - MIN(Provinsi[[#ALL],[IKF]])) * 100</f>
        <v>18.63979849</v>
      </c>
      <c r="J22" s="9">
        <f>(F22 - MIN(Provinsi[[#ALL],[TIK]])) / (MAX(Provinsi[[#ALL],[TIK]]) - MIN(Provinsi[[#ALL],[TIK]])) * 100</f>
        <v>56.94444444</v>
      </c>
      <c r="K22" s="9">
        <f>(G22 - MIN(Provinsi[[#ALL],[IDI]])) / (MAX(Provinsi[[#ALL],[IDI]]) - MIN(Provinsi[[#ALL],[IDI]])) * 100</f>
        <v>87.92156863</v>
      </c>
      <c r="L22" s="9">
        <f t="shared" si="1"/>
        <v>57.42422993</v>
      </c>
      <c r="M22" s="6">
        <f>_xlfn.RANK.EQ(L22,Provinsi[Rata-rata Skor])</f>
        <v>21</v>
      </c>
      <c r="N22" s="6">
        <f>COUNTIFS(Provinsi[Regional], B22, Provinsi[Rata-rata Skor], "&gt;"&amp;L22) + 1</f>
        <v>3</v>
      </c>
    </row>
    <row r="23" ht="22.5" customHeight="1">
      <c r="A23" s="5">
        <v>22.0</v>
      </c>
      <c r="B23" s="5" t="s">
        <v>27</v>
      </c>
      <c r="C23" s="6" t="s">
        <v>41</v>
      </c>
      <c r="D23" s="7">
        <v>76.1</v>
      </c>
      <c r="E23" s="8">
        <v>0.288</v>
      </c>
      <c r="F23" s="7">
        <v>6.13</v>
      </c>
      <c r="G23" s="7">
        <v>81.91</v>
      </c>
      <c r="H23" s="9">
        <f>(D23 - MIN(Provinsi[[#ALL],[IPM]])) / (MAX(Provinsi[[#ALL],[IPM]]) - MIN(Provinsi[[#ALL],[IPM]])) * 100</f>
        <v>70.3052422</v>
      </c>
      <c r="I23" s="9">
        <f>(E23 - MIN(Provinsi[[#ALL],[IKF]])) / (MAX(Provinsi[[#ALL],[IKF]]) - MIN(Provinsi[[#ALL],[IKF]])) * 100</f>
        <v>5.247691016</v>
      </c>
      <c r="J23" s="9">
        <f>(F23 - MIN(Provinsi[[#ALL],[TIK]])) / (MAX(Provinsi[[#ALL],[TIK]]) - MIN(Provinsi[[#ALL],[TIK]])) * 100</f>
        <v>59.49074074</v>
      </c>
      <c r="K23" s="9">
        <f>(G23 - MIN(Provinsi[[#ALL],[IDI]])) / (MAX(Provinsi[[#ALL],[IDI]]) - MIN(Provinsi[[#ALL],[IDI]])) * 100</f>
        <v>91.77591036</v>
      </c>
      <c r="L23" s="9">
        <f t="shared" si="1"/>
        <v>56.70489608</v>
      </c>
      <c r="M23" s="6">
        <f>_xlfn.RANK.EQ(L23,Provinsi[Rata-rata Skor])</f>
        <v>22</v>
      </c>
      <c r="N23" s="6">
        <f>COUNTIFS(Provinsi[Regional], B23, Provinsi[Rata-rata Skor], "&gt;"&amp;L23) + 1</f>
        <v>4</v>
      </c>
    </row>
    <row r="24" ht="22.5" customHeight="1">
      <c r="A24" s="5">
        <v>24.0</v>
      </c>
      <c r="B24" s="5" t="s">
        <v>27</v>
      </c>
      <c r="C24" s="6" t="s">
        <v>42</v>
      </c>
      <c r="D24" s="7">
        <v>74.04</v>
      </c>
      <c r="E24" s="8">
        <v>0.406</v>
      </c>
      <c r="F24" s="7">
        <v>6.4</v>
      </c>
      <c r="G24" s="7">
        <v>77.35</v>
      </c>
      <c r="H24" s="9">
        <f>(D24 - MIN(Provinsi[[#ALL],[IPM]])) / (MAX(Provinsi[[#ALL],[IPM]]) - MIN(Provinsi[[#ALL],[IPM]])) * 100</f>
        <v>63.47047113</v>
      </c>
      <c r="I24" s="9">
        <f>(E24 - MIN(Provinsi[[#ALL],[IKF]])) / (MAX(Provinsi[[#ALL],[IKF]]) - MIN(Provinsi[[#ALL],[IKF]])) * 100</f>
        <v>10.20151134</v>
      </c>
      <c r="J24" s="9">
        <f>(F24 - MIN(Provinsi[[#ALL],[TIK]])) / (MAX(Provinsi[[#ALL],[TIK]]) - MIN(Provinsi[[#ALL],[TIK]])) * 100</f>
        <v>65.74074074</v>
      </c>
      <c r="K24" s="9">
        <f>(G24 - MIN(Provinsi[[#ALL],[IDI]])) / (MAX(Provinsi[[#ALL],[IDI]]) - MIN(Provinsi[[#ALL],[IDI]])) * 100</f>
        <v>86.66666667</v>
      </c>
      <c r="L24" s="9">
        <f t="shared" si="1"/>
        <v>56.51984747</v>
      </c>
      <c r="M24" s="6">
        <f>_xlfn.RANK.EQ(L24,Provinsi[Rata-rata Skor])</f>
        <v>23</v>
      </c>
      <c r="N24" s="6">
        <f>COUNTIFS(Provinsi[Regional], B24, Provinsi[Rata-rata Skor], "&gt;"&amp;L24) + 1</f>
        <v>5</v>
      </c>
    </row>
    <row r="25" ht="22.5" customHeight="1">
      <c r="A25" s="5">
        <v>8.0</v>
      </c>
      <c r="B25" s="5" t="s">
        <v>20</v>
      </c>
      <c r="C25" s="6" t="s">
        <v>43</v>
      </c>
      <c r="D25" s="7">
        <v>73.98</v>
      </c>
      <c r="E25" s="8">
        <v>0.798</v>
      </c>
      <c r="F25" s="7">
        <v>5.91</v>
      </c>
      <c r="G25" s="7">
        <v>72.62</v>
      </c>
      <c r="H25" s="9">
        <f>(D25 - MIN(Provinsi[[#ALL],[IPM]])) / (MAX(Provinsi[[#ALL],[IPM]]) - MIN(Provinsi[[#ALL],[IPM]])) * 100</f>
        <v>63.27140013</v>
      </c>
      <c r="I25" s="9">
        <f>(E25 - MIN(Provinsi[[#ALL],[IKF]])) / (MAX(Provinsi[[#ALL],[IKF]]) - MIN(Provinsi[[#ALL],[IKF]])) * 100</f>
        <v>26.65827036</v>
      </c>
      <c r="J25" s="9">
        <f>(F25 - MIN(Provinsi[[#ALL],[TIK]])) / (MAX(Provinsi[[#ALL],[TIK]]) - MIN(Provinsi[[#ALL],[TIK]])) * 100</f>
        <v>54.39814815</v>
      </c>
      <c r="K25" s="9">
        <f>(G25 - MIN(Provinsi[[#ALL],[IDI]])) / (MAX(Provinsi[[#ALL],[IDI]]) - MIN(Provinsi[[#ALL],[IDI]])) * 100</f>
        <v>81.36694678</v>
      </c>
      <c r="L25" s="9">
        <f t="shared" si="1"/>
        <v>56.42369136</v>
      </c>
      <c r="M25" s="6">
        <f>_xlfn.RANK.EQ(L25,Provinsi[Rata-rata Skor])</f>
        <v>24</v>
      </c>
      <c r="N25" s="6">
        <f>COUNTIFS(Provinsi[Regional], B25, Provinsi[Rata-rata Skor], "&gt;"&amp;L25) + 1</f>
        <v>9</v>
      </c>
    </row>
    <row r="26" ht="22.5" customHeight="1">
      <c r="A26" s="5">
        <v>9.0</v>
      </c>
      <c r="B26" s="5" t="s">
        <v>20</v>
      </c>
      <c r="C26" s="6" t="s">
        <v>44</v>
      </c>
      <c r="D26" s="7">
        <v>75.26</v>
      </c>
      <c r="E26" s="8">
        <v>0.306</v>
      </c>
      <c r="F26" s="7">
        <v>6.06</v>
      </c>
      <c r="G26" s="7">
        <v>81.91</v>
      </c>
      <c r="H26" s="9">
        <f>(D26 - MIN(Provinsi[[#ALL],[IPM]])) / (MAX(Provinsi[[#ALL],[IPM]]) - MIN(Provinsi[[#ALL],[IPM]])) * 100</f>
        <v>67.51824818</v>
      </c>
      <c r="I26" s="9">
        <f>(E26 - MIN(Provinsi[[#ALL],[IKF]])) / (MAX(Provinsi[[#ALL],[IKF]]) - MIN(Provinsi[[#ALL],[IKF]])) * 100</f>
        <v>6.003358522</v>
      </c>
      <c r="J26" s="9">
        <f>(F26 - MIN(Provinsi[[#ALL],[TIK]])) / (MAX(Provinsi[[#ALL],[TIK]]) - MIN(Provinsi[[#ALL],[TIK]])) * 100</f>
        <v>57.87037037</v>
      </c>
      <c r="K26" s="9">
        <f>(G26 - MIN(Provinsi[[#ALL],[IDI]])) / (MAX(Provinsi[[#ALL],[IDI]]) - MIN(Provinsi[[#ALL],[IDI]])) * 100</f>
        <v>91.77591036</v>
      </c>
      <c r="L26" s="9">
        <f t="shared" si="1"/>
        <v>55.79197186</v>
      </c>
      <c r="M26" s="6">
        <f>_xlfn.RANK.EQ(L26,Provinsi[Rata-rata Skor])</f>
        <v>25</v>
      </c>
      <c r="N26" s="6">
        <f>COUNTIFS(Provinsi[Regional], B26, Provinsi[Rata-rata Skor], "&gt;"&amp;L26) + 1</f>
        <v>10</v>
      </c>
    </row>
    <row r="27" ht="22.5" customHeight="1">
      <c r="A27" s="5">
        <v>18.0</v>
      </c>
      <c r="B27" s="5" t="s">
        <v>17</v>
      </c>
      <c r="C27" s="6" t="s">
        <v>45</v>
      </c>
      <c r="D27" s="7">
        <v>73.97</v>
      </c>
      <c r="E27" s="8">
        <v>0.598</v>
      </c>
      <c r="F27" s="7">
        <v>5.88</v>
      </c>
      <c r="G27" s="7">
        <v>76.37</v>
      </c>
      <c r="H27" s="9">
        <f>(D27 - MIN(Provinsi[[#ALL],[IPM]])) / (MAX(Provinsi[[#ALL],[IPM]]) - MIN(Provinsi[[#ALL],[IPM]])) * 100</f>
        <v>63.23822163</v>
      </c>
      <c r="I27" s="9">
        <f>(E27 - MIN(Provinsi[[#ALL],[IKF]])) / (MAX(Provinsi[[#ALL],[IKF]]) - MIN(Provinsi[[#ALL],[IKF]])) * 100</f>
        <v>18.26196474</v>
      </c>
      <c r="J27" s="9">
        <f>(F27 - MIN(Provinsi[[#ALL],[TIK]])) / (MAX(Provinsi[[#ALL],[TIK]]) - MIN(Provinsi[[#ALL],[TIK]])) * 100</f>
        <v>53.7037037</v>
      </c>
      <c r="K27" s="9">
        <f>(G27 - MIN(Provinsi[[#ALL],[IDI]])) / (MAX(Provinsi[[#ALL],[IDI]]) - MIN(Provinsi[[#ALL],[IDI]])) * 100</f>
        <v>85.56862745</v>
      </c>
      <c r="L27" s="9">
        <f t="shared" si="1"/>
        <v>55.19312938</v>
      </c>
      <c r="M27" s="6">
        <f>_xlfn.RANK.EQ(L27,Provinsi[Rata-rata Skor])</f>
        <v>26</v>
      </c>
      <c r="N27" s="6">
        <f>COUNTIFS(Provinsi[Regional], B27, Provinsi[Rata-rata Skor], "&gt;"&amp;L27) + 1</f>
        <v>2</v>
      </c>
    </row>
    <row r="28" ht="22.5" customHeight="1">
      <c r="A28" s="5">
        <v>28.0</v>
      </c>
      <c r="B28" s="5" t="s">
        <v>31</v>
      </c>
      <c r="C28" s="6" t="s">
        <v>46</v>
      </c>
      <c r="D28" s="7">
        <v>74.25</v>
      </c>
      <c r="E28" s="8">
        <v>0.344</v>
      </c>
      <c r="F28" s="7">
        <v>6.03</v>
      </c>
      <c r="G28" s="7">
        <v>78.04</v>
      </c>
      <c r="H28" s="9">
        <f>(D28 - MIN(Provinsi[[#ALL],[IPM]])) / (MAX(Provinsi[[#ALL],[IPM]]) - MIN(Provinsi[[#ALL],[IPM]])) * 100</f>
        <v>64.16721964</v>
      </c>
      <c r="I28" s="9">
        <f>(E28 - MIN(Provinsi[[#ALL],[IKF]])) / (MAX(Provinsi[[#ALL],[IKF]]) - MIN(Provinsi[[#ALL],[IKF]])) * 100</f>
        <v>7.598656591</v>
      </c>
      <c r="J28" s="9">
        <f>(F28 - MIN(Provinsi[[#ALL],[TIK]])) / (MAX(Provinsi[[#ALL],[TIK]]) - MIN(Provinsi[[#ALL],[TIK]])) * 100</f>
        <v>57.17592593</v>
      </c>
      <c r="K28" s="9">
        <f>(G28 - MIN(Provinsi[[#ALL],[IDI]])) / (MAX(Provinsi[[#ALL],[IDI]]) - MIN(Provinsi[[#ALL],[IDI]])) * 100</f>
        <v>87.43977591</v>
      </c>
      <c r="L28" s="9">
        <f t="shared" si="1"/>
        <v>54.09539452</v>
      </c>
      <c r="M28" s="6">
        <f>_xlfn.RANK.EQ(L28,Provinsi[Rata-rata Skor])</f>
        <v>27</v>
      </c>
      <c r="N28" s="6">
        <f>COUNTIFS(Provinsi[Regional], B28, Provinsi[Rata-rata Skor], "&gt;"&amp;L28) + 1</f>
        <v>3</v>
      </c>
    </row>
    <row r="29" ht="22.5" customHeight="1">
      <c r="A29" s="5">
        <v>26.0</v>
      </c>
      <c r="B29" s="5" t="s">
        <v>31</v>
      </c>
      <c r="C29" s="6" t="s">
        <v>47</v>
      </c>
      <c r="D29" s="7">
        <v>72.82</v>
      </c>
      <c r="E29" s="8">
        <v>0.386</v>
      </c>
      <c r="F29" s="7">
        <v>5.93</v>
      </c>
      <c r="G29" s="7">
        <v>79.35</v>
      </c>
      <c r="H29" s="9">
        <f>(D29 - MIN(Provinsi[[#ALL],[IPM]])) / (MAX(Provinsi[[#ALL],[IPM]]) - MIN(Provinsi[[#ALL],[IPM]])) * 100</f>
        <v>59.42269409</v>
      </c>
      <c r="I29" s="9">
        <f>(E29 - MIN(Provinsi[[#ALL],[IKF]])) / (MAX(Provinsi[[#ALL],[IKF]]) - MIN(Provinsi[[#ALL],[IKF]])) * 100</f>
        <v>9.361880772</v>
      </c>
      <c r="J29" s="9">
        <f>(F29 - MIN(Provinsi[[#ALL],[TIK]])) / (MAX(Provinsi[[#ALL],[TIK]]) - MIN(Provinsi[[#ALL],[TIK]])) * 100</f>
        <v>54.86111111</v>
      </c>
      <c r="K29" s="9">
        <f>(G29 - MIN(Provinsi[[#ALL],[IDI]])) / (MAX(Provinsi[[#ALL],[IDI]]) - MIN(Provinsi[[#ALL],[IDI]])) * 100</f>
        <v>88.90756303</v>
      </c>
      <c r="L29" s="9">
        <f t="shared" si="1"/>
        <v>53.13831225</v>
      </c>
      <c r="M29" s="6">
        <f>_xlfn.RANK.EQ(L29,Provinsi[Rata-rata Skor])</f>
        <v>28</v>
      </c>
      <c r="N29" s="6">
        <f>COUNTIFS(Provinsi[Regional], B29, Provinsi[Rata-rata Skor], "&gt;"&amp;L29) + 1</f>
        <v>4</v>
      </c>
    </row>
    <row r="30" ht="22.5" customHeight="1">
      <c r="A30" s="5">
        <v>29.0</v>
      </c>
      <c r="B30" s="5" t="s">
        <v>31</v>
      </c>
      <c r="C30" s="6" t="s">
        <v>48</v>
      </c>
      <c r="D30" s="7">
        <v>72.62</v>
      </c>
      <c r="E30" s="8">
        <v>0.434</v>
      </c>
      <c r="F30" s="7">
        <v>5.85</v>
      </c>
      <c r="G30" s="7">
        <v>74.57</v>
      </c>
      <c r="H30" s="9">
        <f>(D30 - MIN(Provinsi[[#ALL],[IPM]])) / (MAX(Provinsi[[#ALL],[IPM]]) - MIN(Provinsi[[#ALL],[IPM]])) * 100</f>
        <v>58.75912409</v>
      </c>
      <c r="I30" s="9">
        <f>(E30 - MIN(Provinsi[[#ALL],[IKF]])) / (MAX(Provinsi[[#ALL],[IKF]]) - MIN(Provinsi[[#ALL],[IKF]])) * 100</f>
        <v>11.37699412</v>
      </c>
      <c r="J30" s="9">
        <f>(F30 - MIN(Provinsi[[#ALL],[TIK]])) / (MAX(Provinsi[[#ALL],[TIK]]) - MIN(Provinsi[[#ALL],[TIK]])) * 100</f>
        <v>53.00925926</v>
      </c>
      <c r="K30" s="9">
        <f>(G30 - MIN(Provinsi[[#ALL],[IDI]])) / (MAX(Provinsi[[#ALL],[IDI]]) - MIN(Provinsi[[#ALL],[IDI]])) * 100</f>
        <v>83.55182073</v>
      </c>
      <c r="L30" s="9">
        <f t="shared" si="1"/>
        <v>51.67429955</v>
      </c>
      <c r="M30" s="6">
        <f>_xlfn.RANK.EQ(L30,Provinsi[Rata-rata Skor])</f>
        <v>29</v>
      </c>
      <c r="N30" s="6">
        <f>COUNTIFS(Provinsi[Regional], B30, Provinsi[Rata-rata Skor], "&gt;"&amp;L30) + 1</f>
        <v>5</v>
      </c>
    </row>
    <row r="31" ht="22.5" customHeight="1">
      <c r="A31" s="5">
        <v>31.0</v>
      </c>
      <c r="B31" s="5" t="s">
        <v>25</v>
      </c>
      <c r="C31" s="6" t="s">
        <v>49</v>
      </c>
      <c r="D31" s="7">
        <v>74.09</v>
      </c>
      <c r="E31" s="8">
        <v>0.372</v>
      </c>
      <c r="F31" s="7">
        <v>5.84</v>
      </c>
      <c r="G31" s="7">
        <v>67.98</v>
      </c>
      <c r="H31" s="9">
        <f>(D31 - MIN(Provinsi[[#ALL],[IPM]])) / (MAX(Provinsi[[#ALL],[IPM]]) - MIN(Provinsi[[#ALL],[IPM]])) * 100</f>
        <v>63.63636364</v>
      </c>
      <c r="I31" s="9">
        <f>(E31 - MIN(Provinsi[[#ALL],[IKF]])) / (MAX(Provinsi[[#ALL],[IKF]]) - MIN(Provinsi[[#ALL],[IKF]])) * 100</f>
        <v>8.774139379</v>
      </c>
      <c r="J31" s="9">
        <f>(F31 - MIN(Provinsi[[#ALL],[TIK]])) / (MAX(Provinsi[[#ALL],[TIK]]) - MIN(Provinsi[[#ALL],[TIK]])) * 100</f>
        <v>52.77777778</v>
      </c>
      <c r="K31" s="9">
        <f>(G31 - MIN(Provinsi[[#ALL],[IDI]])) / (MAX(Provinsi[[#ALL],[IDI]]) - MIN(Provinsi[[#ALL],[IDI]])) * 100</f>
        <v>76.16806723</v>
      </c>
      <c r="L31" s="9">
        <f t="shared" si="1"/>
        <v>50.339087</v>
      </c>
      <c r="M31" s="6">
        <f>_xlfn.RANK.EQ(L31,Provinsi[Rata-rata Skor])</f>
        <v>30</v>
      </c>
      <c r="N31" s="6">
        <f>COUNTIFS(Provinsi[Regional], B31, Provinsi[Rata-rata Skor], "&gt;"&amp;L31) + 1</f>
        <v>2</v>
      </c>
    </row>
    <row r="32" ht="22.5" customHeight="1">
      <c r="A32" s="5">
        <v>30.0</v>
      </c>
      <c r="B32" s="5" t="s">
        <v>31</v>
      </c>
      <c r="C32" s="6" t="s">
        <v>50</v>
      </c>
      <c r="D32" s="7">
        <v>71.16</v>
      </c>
      <c r="E32" s="8">
        <v>0.34</v>
      </c>
      <c r="F32" s="7">
        <v>5.73</v>
      </c>
      <c r="G32" s="7">
        <v>74.56</v>
      </c>
      <c r="H32" s="9">
        <f>(D32 - MIN(Provinsi[[#ALL],[IPM]])) / (MAX(Provinsi[[#ALL],[IPM]]) - MIN(Provinsi[[#ALL],[IPM]])) * 100</f>
        <v>53.91506304</v>
      </c>
      <c r="I32" s="9">
        <f>(E32 - MIN(Provinsi[[#ALL],[IKF]])) / (MAX(Provinsi[[#ALL],[IKF]]) - MIN(Provinsi[[#ALL],[IKF]])) * 100</f>
        <v>7.430730479</v>
      </c>
      <c r="J32" s="9">
        <f>(F32 - MIN(Provinsi[[#ALL],[TIK]])) / (MAX(Provinsi[[#ALL],[TIK]]) - MIN(Provinsi[[#ALL],[TIK]])) * 100</f>
        <v>50.23148148</v>
      </c>
      <c r="K32" s="9">
        <f>(G32 - MIN(Provinsi[[#ALL],[IDI]])) / (MAX(Provinsi[[#ALL],[IDI]]) - MIN(Provinsi[[#ALL],[IDI]])) * 100</f>
        <v>83.54061625</v>
      </c>
      <c r="L32" s="9">
        <f t="shared" si="1"/>
        <v>48.77947281</v>
      </c>
      <c r="M32" s="6">
        <f>_xlfn.RANK.EQ(L32,Provinsi[Rata-rata Skor])</f>
        <v>31</v>
      </c>
      <c r="N32" s="6">
        <f>COUNTIFS(Provinsi[Regional], B32, Provinsi[Rata-rata Skor], "&gt;"&amp;L32) + 1</f>
        <v>6</v>
      </c>
    </row>
    <row r="33" ht="22.5" customHeight="1">
      <c r="A33" s="5">
        <v>32.0</v>
      </c>
      <c r="B33" s="5" t="s">
        <v>25</v>
      </c>
      <c r="C33" s="6" t="s">
        <v>51</v>
      </c>
      <c r="D33" s="7">
        <v>72.52</v>
      </c>
      <c r="E33" s="8">
        <v>0.364</v>
      </c>
      <c r="F33" s="7">
        <v>5.68</v>
      </c>
      <c r="G33" s="7">
        <v>67.8</v>
      </c>
      <c r="H33" s="9">
        <f>(D33 - MIN(Provinsi[[#ALL],[IPM]])) / (MAX(Provinsi[[#ALL],[IPM]]) - MIN(Provinsi[[#ALL],[IPM]])) * 100</f>
        <v>58.42733908</v>
      </c>
      <c r="I33" s="9">
        <f>(E33 - MIN(Provinsi[[#ALL],[IKF]])) / (MAX(Provinsi[[#ALL],[IKF]]) - MIN(Provinsi[[#ALL],[IKF]])) * 100</f>
        <v>8.438287154</v>
      </c>
      <c r="J33" s="9">
        <f>(F33 - MIN(Provinsi[[#ALL],[TIK]])) / (MAX(Provinsi[[#ALL],[TIK]]) - MIN(Provinsi[[#ALL],[TIK]])) * 100</f>
        <v>49.07407407</v>
      </c>
      <c r="K33" s="9">
        <f>(G33 - MIN(Provinsi[[#ALL],[IDI]])) / (MAX(Provinsi[[#ALL],[IDI]]) - MIN(Provinsi[[#ALL],[IDI]])) * 100</f>
        <v>75.96638655</v>
      </c>
      <c r="L33" s="9">
        <f t="shared" si="1"/>
        <v>47.97652172</v>
      </c>
      <c r="M33" s="6">
        <f>_xlfn.RANK.EQ(L33,Provinsi[Rata-rata Skor])</f>
        <v>32</v>
      </c>
      <c r="N33" s="6">
        <f>COUNTIFS(Provinsi[Regional], B33, Provinsi[Rata-rata Skor], "&gt;"&amp;L33) + 1</f>
        <v>3</v>
      </c>
    </row>
    <row r="34" ht="22.5" customHeight="1">
      <c r="A34" s="5">
        <v>19.0</v>
      </c>
      <c r="B34" s="5" t="s">
        <v>17</v>
      </c>
      <c r="C34" s="6" t="s">
        <v>52</v>
      </c>
      <c r="D34" s="7">
        <v>69.89</v>
      </c>
      <c r="E34" s="8">
        <v>0.281</v>
      </c>
      <c r="F34" s="7">
        <v>5.36</v>
      </c>
      <c r="G34" s="7">
        <v>79.47</v>
      </c>
      <c r="H34" s="9">
        <f>(D34 - MIN(Provinsi[[#ALL],[IPM]])) / (MAX(Provinsi[[#ALL],[IPM]]) - MIN(Provinsi[[#ALL],[IPM]])) * 100</f>
        <v>49.7013935</v>
      </c>
      <c r="I34" s="9">
        <f>(E34 - MIN(Provinsi[[#ALL],[IKF]])) / (MAX(Provinsi[[#ALL],[IKF]]) - MIN(Provinsi[[#ALL],[IKF]])) * 100</f>
        <v>4.953820319</v>
      </c>
      <c r="J34" s="9">
        <f>(F34 - MIN(Provinsi[[#ALL],[TIK]])) / (MAX(Provinsi[[#ALL],[TIK]]) - MIN(Provinsi[[#ALL],[TIK]])) * 100</f>
        <v>41.66666667</v>
      </c>
      <c r="K34" s="9">
        <f>(G34 - MIN(Provinsi[[#ALL],[IDI]])) / (MAX(Provinsi[[#ALL],[IDI]]) - MIN(Provinsi[[#ALL],[IDI]])) * 100</f>
        <v>89.04201681</v>
      </c>
      <c r="L34" s="9">
        <f t="shared" si="1"/>
        <v>46.34097432</v>
      </c>
      <c r="M34" s="6">
        <f>_xlfn.RANK.EQ(L34,Provinsi[Rata-rata Skor])</f>
        <v>33</v>
      </c>
      <c r="N34" s="6">
        <f>COUNTIFS(Provinsi[Regional], B34, Provinsi[Rata-rata Skor], "&gt;"&amp;L34) + 1</f>
        <v>3</v>
      </c>
    </row>
    <row r="35" ht="22.5" customHeight="1">
      <c r="A35" s="5">
        <v>36.0</v>
      </c>
      <c r="B35" s="5" t="s">
        <v>25</v>
      </c>
      <c r="C35" s="6" t="s">
        <v>53</v>
      </c>
      <c r="D35" s="7">
        <v>69.54</v>
      </c>
      <c r="E35" s="8">
        <v>1.964</v>
      </c>
      <c r="F35" s="7">
        <v>3.56</v>
      </c>
      <c r="G35" s="7">
        <v>0.0</v>
      </c>
      <c r="H35" s="9">
        <f>(D35 - MIN(Provinsi[[#ALL],[IPM]])) / (MAX(Provinsi[[#ALL],[IPM]]) - MIN(Provinsi[[#ALL],[IPM]])) * 100</f>
        <v>48.54014599</v>
      </c>
      <c r="I35" s="9">
        <f>(E35 - MIN(Provinsi[[#ALL],[IKF]])) / (MAX(Provinsi[[#ALL],[IKF]]) - MIN(Provinsi[[#ALL],[IKF]])) * 100</f>
        <v>75.60873216</v>
      </c>
      <c r="J35" s="9">
        <f>(F35 - MIN(Provinsi[[#ALL],[TIK]])) / (MAX(Provinsi[[#ALL],[TIK]]) - MIN(Provinsi[[#ALL],[TIK]])) * 100</f>
        <v>0</v>
      </c>
      <c r="K35" s="9">
        <f>(G35 - MIN(Provinsi[[#ALL],[IDI]])) / (MAX(Provinsi[[#ALL],[IDI]]) - MIN(Provinsi[[#ALL],[IDI]])) * 100</f>
        <v>0</v>
      </c>
      <c r="L35" s="9">
        <f t="shared" si="1"/>
        <v>31.03721954</v>
      </c>
      <c r="M35" s="6">
        <f>_xlfn.RANK.EQ(L35,Provinsi[Rata-rata Skor])</f>
        <v>34</v>
      </c>
      <c r="N35" s="6">
        <f>COUNTIFS(Provinsi[Regional], B35, Provinsi[Rata-rata Skor], "&gt;"&amp;L35) + 1</f>
        <v>4</v>
      </c>
    </row>
    <row r="36" ht="22.5" customHeight="1">
      <c r="A36" s="5">
        <v>38.0</v>
      </c>
      <c r="B36" s="5" t="s">
        <v>25</v>
      </c>
      <c r="C36" s="6" t="s">
        <v>54</v>
      </c>
      <c r="D36" s="7">
        <v>54.91</v>
      </c>
      <c r="E36" s="8">
        <v>1.928</v>
      </c>
      <c r="F36" s="7">
        <v>5.61</v>
      </c>
      <c r="G36" s="7">
        <v>0.0</v>
      </c>
      <c r="H36" s="9">
        <f>(D36 - MIN(Provinsi[[#ALL],[IPM]])) / (MAX(Provinsi[[#ALL],[IPM]]) - MIN(Provinsi[[#ALL],[IPM]])) * 100</f>
        <v>0</v>
      </c>
      <c r="I36" s="9">
        <f>(E36 - MIN(Provinsi[[#ALL],[IKF]])) / (MAX(Provinsi[[#ALL],[IKF]]) - MIN(Provinsi[[#ALL],[IKF]])) * 100</f>
        <v>74.09739715</v>
      </c>
      <c r="J36" s="9">
        <f>(F36 - MIN(Provinsi[[#ALL],[TIK]])) / (MAX(Provinsi[[#ALL],[TIK]]) - MIN(Provinsi[[#ALL],[TIK]])) * 100</f>
        <v>47.4537037</v>
      </c>
      <c r="K36" s="9">
        <f>(G36 - MIN(Provinsi[[#ALL],[IDI]])) / (MAX(Provinsi[[#ALL],[IDI]]) - MIN(Provinsi[[#ALL],[IDI]])) * 100</f>
        <v>0</v>
      </c>
      <c r="L36" s="9">
        <f t="shared" si="1"/>
        <v>30.38777521</v>
      </c>
      <c r="M36" s="6">
        <f>_xlfn.RANK.EQ(L36,Provinsi[Rata-rata Skor])</f>
        <v>35</v>
      </c>
      <c r="N36" s="6">
        <f>COUNTIFS(Provinsi[Regional], B36, Provinsi[Rata-rata Skor], "&gt;"&amp;L36) + 1</f>
        <v>5</v>
      </c>
    </row>
    <row r="37" ht="22.5" customHeight="1">
      <c r="A37" s="5">
        <v>33.0</v>
      </c>
      <c r="B37" s="5" t="s">
        <v>25</v>
      </c>
      <c r="C37" s="6" t="s">
        <v>55</v>
      </c>
      <c r="D37" s="7">
        <v>68.48</v>
      </c>
      <c r="E37" s="8">
        <v>0.185</v>
      </c>
      <c r="F37" s="7">
        <v>3.56</v>
      </c>
      <c r="G37" s="7">
        <v>56.55</v>
      </c>
      <c r="H37" s="9">
        <f>(D37 - MIN(Provinsi[[#ALL],[IPM]])) / (MAX(Provinsi[[#ALL],[IPM]]) - MIN(Provinsi[[#ALL],[IPM]])) * 100</f>
        <v>45.02322495</v>
      </c>
      <c r="I37" s="9">
        <f>(E37 - MIN(Provinsi[[#ALL],[IKF]])) / (MAX(Provinsi[[#ALL],[IKF]]) - MIN(Provinsi[[#ALL],[IKF]])) * 100</f>
        <v>0.9235936188</v>
      </c>
      <c r="J37" s="9">
        <f>(F37 - MIN(Provinsi[[#ALL],[TIK]])) / (MAX(Provinsi[[#ALL],[TIK]]) - MIN(Provinsi[[#ALL],[TIK]])) * 100</f>
        <v>0</v>
      </c>
      <c r="K37" s="9">
        <f>(G37 - MIN(Provinsi[[#ALL],[IDI]])) / (MAX(Provinsi[[#ALL],[IDI]]) - MIN(Provinsi[[#ALL],[IDI]])) * 100</f>
        <v>63.36134454</v>
      </c>
      <c r="L37" s="9">
        <f t="shared" si="1"/>
        <v>27.32704078</v>
      </c>
      <c r="M37" s="6">
        <f>_xlfn.RANK.EQ(L37,Provinsi[Rata-rata Skor])</f>
        <v>36</v>
      </c>
      <c r="N37" s="6">
        <f>COUNTIFS(Provinsi[Regional], B37, Provinsi[Rata-rata Skor], "&gt;"&amp;L37) + 1</f>
        <v>6</v>
      </c>
    </row>
    <row r="38" ht="22.5" customHeight="1">
      <c r="A38" s="5">
        <v>35.0</v>
      </c>
      <c r="B38" s="5" t="s">
        <v>25</v>
      </c>
      <c r="C38" s="6" t="s">
        <v>56</v>
      </c>
      <c r="D38" s="7">
        <v>74.69</v>
      </c>
      <c r="E38" s="8">
        <v>0.163</v>
      </c>
      <c r="F38" s="7">
        <v>3.56</v>
      </c>
      <c r="G38" s="7">
        <v>0.0</v>
      </c>
      <c r="H38" s="9">
        <f>(D38 - MIN(Provinsi[[#ALL],[IPM]])) / (MAX(Provinsi[[#ALL],[IPM]]) - MIN(Provinsi[[#ALL],[IPM]])) * 100</f>
        <v>65.62707366</v>
      </c>
      <c r="I38" s="9">
        <f>(E38 - MIN(Provinsi[[#ALL],[IKF]])) / (MAX(Provinsi[[#ALL],[IKF]]) - MIN(Provinsi[[#ALL],[IKF]])) * 100</f>
        <v>0</v>
      </c>
      <c r="J38" s="9">
        <f>(F38 - MIN(Provinsi[[#ALL],[TIK]])) / (MAX(Provinsi[[#ALL],[TIK]]) - MIN(Provinsi[[#ALL],[TIK]])) * 100</f>
        <v>0</v>
      </c>
      <c r="K38" s="9">
        <f>(G38 - MIN(Provinsi[[#ALL],[IDI]])) / (MAX(Provinsi[[#ALL],[IDI]]) - MIN(Provinsi[[#ALL],[IDI]])) * 100</f>
        <v>0</v>
      </c>
      <c r="L38" s="9">
        <f t="shared" si="1"/>
        <v>16.40676841</v>
      </c>
      <c r="M38" s="6">
        <f>_xlfn.RANK.EQ(L38,Provinsi[Rata-rata Skor])</f>
        <v>37</v>
      </c>
      <c r="N38" s="6">
        <f>COUNTIFS(Provinsi[Regional], B38, Provinsi[Rata-rata Skor], "&gt;"&amp;L38) + 1</f>
        <v>7</v>
      </c>
    </row>
    <row r="39" ht="22.5" customHeight="1">
      <c r="A39" s="5">
        <v>37.0</v>
      </c>
      <c r="B39" s="5" t="s">
        <v>25</v>
      </c>
      <c r="C39" s="6" t="s">
        <v>57</v>
      </c>
      <c r="D39" s="7">
        <v>60.64</v>
      </c>
      <c r="E39" s="8">
        <v>0.422</v>
      </c>
      <c r="F39" s="7">
        <v>3.56</v>
      </c>
      <c r="G39" s="7">
        <v>0.0</v>
      </c>
      <c r="H39" s="9">
        <f>(D39 - MIN(Provinsi[[#ALL],[IPM]])) / (MAX(Provinsi[[#ALL],[IPM]]) - MIN(Provinsi[[#ALL],[IPM]])) * 100</f>
        <v>19.01128069</v>
      </c>
      <c r="I39" s="9">
        <f>(E39 - MIN(Provinsi[[#ALL],[IKF]])) / (MAX(Provinsi[[#ALL],[IKF]]) - MIN(Provinsi[[#ALL],[IKF]])) * 100</f>
        <v>10.87321579</v>
      </c>
      <c r="J39" s="9">
        <f>(F39 - MIN(Provinsi[[#ALL],[TIK]])) / (MAX(Provinsi[[#ALL],[TIK]]) - MIN(Provinsi[[#ALL],[TIK]])) * 100</f>
        <v>0</v>
      </c>
      <c r="K39" s="9">
        <f>(G39 - MIN(Provinsi[[#ALL],[IDI]])) / (MAX(Provinsi[[#ALL],[IDI]]) - MIN(Provinsi[[#ALL],[IDI]])) * 100</f>
        <v>0</v>
      </c>
      <c r="L39" s="9">
        <f t="shared" si="1"/>
        <v>7.471124119</v>
      </c>
      <c r="M39" s="6">
        <f>_xlfn.RANK.EQ(L39,Provinsi[Rata-rata Skor])</f>
        <v>38</v>
      </c>
      <c r="N39" s="6">
        <f>COUNTIFS(Provinsi[Regional], B39, Provinsi[Rata-rata Skor], "&gt;"&amp;L39) + 1</f>
        <v>8</v>
      </c>
    </row>
  </sheetData>
  <dataValidations>
    <dataValidation type="custom" allowBlank="1" showDropDown="1" sqref="D2:K39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17.5"/>
    <col customWidth="1" min="3" max="3" width="27.75"/>
    <col customWidth="1" min="4" max="4" width="35.63"/>
    <col customWidth="1" min="7" max="7" width="10.25"/>
    <col customWidth="1" min="13" max="13" width="16.0"/>
  </cols>
  <sheetData>
    <row r="1" ht="22.5" customHeight="1">
      <c r="A1" s="1" t="s">
        <v>0</v>
      </c>
      <c r="B1" s="1" t="s">
        <v>1</v>
      </c>
      <c r="C1" s="1" t="s">
        <v>58</v>
      </c>
      <c r="D1" s="1" t="s">
        <v>59</v>
      </c>
      <c r="E1" s="1" t="s">
        <v>3</v>
      </c>
      <c r="F1" s="1" t="s">
        <v>4</v>
      </c>
      <c r="G1" s="1" t="s">
        <v>5</v>
      </c>
      <c r="H1" s="1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4" t="s">
        <v>12</v>
      </c>
      <c r="O1" s="3" t="s">
        <v>13</v>
      </c>
    </row>
    <row r="2" ht="22.5" customHeight="1">
      <c r="A2" s="5">
        <v>276.0</v>
      </c>
      <c r="B2" s="5" t="s">
        <v>60</v>
      </c>
      <c r="C2" s="5" t="s">
        <v>18</v>
      </c>
      <c r="D2" s="5" t="s">
        <v>61</v>
      </c>
      <c r="E2" s="7">
        <v>84.27</v>
      </c>
      <c r="F2" s="8">
        <v>0.8</v>
      </c>
      <c r="G2" s="7">
        <f>VLOOKUP(C2,Provinsi[[#ALL],[Daerah]:[IDI]],4,0)</f>
        <v>6.82</v>
      </c>
      <c r="H2" s="9">
        <f>VLOOKUP(C2,Provinsi[[#ALL],[Daerah]:[IDI]],5,0)</f>
        <v>88.34</v>
      </c>
      <c r="I2" s="9">
        <f>(E2 - MIN(KabKota[IPM])) / (MAX(KabKota[IPM]) - MIN(KabKota[IPM])) * 100</f>
        <v>89.26829268</v>
      </c>
      <c r="J2" s="9">
        <f>(F2 - MIN(KabKota[IKF])) / (MAX(KabKota[IKF]) - MIN(KabKota[IKF])) * 100</f>
        <v>100</v>
      </c>
      <c r="K2" s="9">
        <f>(G2 - MIN(KabKota[TIK])) / (MAX(KabKota[TIK]) - MIN(KabKota[TIK])) * 100</f>
        <v>75.46296296</v>
      </c>
      <c r="L2" s="9">
        <f>(H2 - MIN(KabKota[IDI])) / (MAX(KabKota[IDI]) - MIN(KabKota[IDI])) * 100</f>
        <v>98.98039216</v>
      </c>
      <c r="M2" s="9">
        <f t="shared" ref="M2:M515" si="1">AVERAGE(I2:L2)</f>
        <v>90.92791195</v>
      </c>
      <c r="N2" s="11">
        <f>_xlfn.RANK.EQ(M2,KabKota[Rata-rata Skor])</f>
        <v>1</v>
      </c>
      <c r="O2" s="6">
        <f>COUNTIFS(KabKota[Regional], B2, KabKota[Rata-rata Skor], "&gt;"&amp;M2) + 1</f>
        <v>1</v>
      </c>
    </row>
    <row r="3" ht="22.5" customHeight="1">
      <c r="A3" s="5">
        <v>277.0</v>
      </c>
      <c r="B3" s="5" t="s">
        <v>60</v>
      </c>
      <c r="C3" s="5" t="s">
        <v>18</v>
      </c>
      <c r="D3" s="5" t="s">
        <v>62</v>
      </c>
      <c r="E3" s="7">
        <v>80.96</v>
      </c>
      <c r="F3" s="8">
        <v>0.483</v>
      </c>
      <c r="G3" s="7">
        <f>VLOOKUP(C3,Provinsi[[#ALL],[Daerah]:[IDI]],4,0)</f>
        <v>6.82</v>
      </c>
      <c r="H3" s="9">
        <f>VLOOKUP(C3,Provinsi[[#ALL],[Daerah]:[IDI]],5,0)</f>
        <v>88.34</v>
      </c>
      <c r="I3" s="9">
        <f>(E3 - MIN(KabKota[IPM])) / (MAX(KabKota[IPM]) - MIN(KabKota[IPM])) * 100</f>
        <v>82.54065041</v>
      </c>
      <c r="J3" s="9">
        <f>(F3 - MIN(KabKota[IKF])) / (MAX(KabKota[IKF]) - MIN(KabKota[IKF])) * 100</f>
        <v>60.375</v>
      </c>
      <c r="K3" s="9">
        <f>(G3 - MIN(KabKota[TIK])) / (MAX(KabKota[TIK]) - MIN(KabKota[TIK])) * 100</f>
        <v>75.46296296</v>
      </c>
      <c r="L3" s="9">
        <f>(H3 - MIN(KabKota[IDI])) / (MAX(KabKota[IDI]) - MIN(KabKota[IDI])) * 100</f>
        <v>98.98039216</v>
      </c>
      <c r="M3" s="9">
        <f t="shared" si="1"/>
        <v>79.33975138</v>
      </c>
      <c r="N3" s="11">
        <f>_xlfn.RANK.EQ(M3,KabKota[Rata-rata Skor])</f>
        <v>2</v>
      </c>
      <c r="O3" s="6">
        <f>COUNTIFS(KabKota[Regional], B3, KabKota[Rata-rata Skor], "&gt;"&amp;M3) + 1</f>
        <v>2</v>
      </c>
    </row>
    <row r="4" ht="22.5" customHeight="1">
      <c r="A4" s="5">
        <v>227.0</v>
      </c>
      <c r="B4" s="5" t="s">
        <v>63</v>
      </c>
      <c r="C4" s="5" t="s">
        <v>16</v>
      </c>
      <c r="D4" s="5" t="s">
        <v>64</v>
      </c>
      <c r="E4" s="7">
        <v>89.53</v>
      </c>
      <c r="F4" s="8">
        <v>0.18</v>
      </c>
      <c r="G4" s="7">
        <f>VLOOKUP(C4,Provinsi[[#ALL],[Daerah]:[IDI]],4,0)</f>
        <v>7.36</v>
      </c>
      <c r="H4" s="9">
        <f>VLOOKUP(C4,Provinsi[[#ALL],[Daerah]:[IDI]],5,0)</f>
        <v>89.25</v>
      </c>
      <c r="I4" s="9">
        <f>(E4 - MIN(KabKota[IPM])) / (MAX(KabKota[IPM]) - MIN(KabKota[IPM])) * 100</f>
        <v>99.95934959</v>
      </c>
      <c r="J4" s="9">
        <f>(F4 - MIN(KabKota[IKF])) / (MAX(KabKota[IKF]) - MIN(KabKota[IKF])) * 100</f>
        <v>22.5</v>
      </c>
      <c r="K4" s="9">
        <f>(G4 - MIN(KabKota[TIK])) / (MAX(KabKota[TIK]) - MIN(KabKota[TIK])) * 100</f>
        <v>87.96296296</v>
      </c>
      <c r="L4" s="9">
        <f>(H4 - MIN(KabKota[IDI])) / (MAX(KabKota[IDI]) - MIN(KabKota[IDI])) * 100</f>
        <v>100</v>
      </c>
      <c r="M4" s="9">
        <f t="shared" si="1"/>
        <v>77.60557814</v>
      </c>
      <c r="N4" s="11">
        <f>_xlfn.RANK.EQ(M4,KabKota[Rata-rata Skor])</f>
        <v>3</v>
      </c>
      <c r="O4" s="6">
        <f>COUNTIFS(KabKota[Regional], B4, KabKota[Rata-rata Skor], "&gt;"&amp;M4) + 1</f>
        <v>1</v>
      </c>
    </row>
    <row r="5" ht="22.5" customHeight="1">
      <c r="A5" s="5">
        <v>282.0</v>
      </c>
      <c r="B5" s="5" t="s">
        <v>60</v>
      </c>
      <c r="C5" s="5" t="s">
        <v>18</v>
      </c>
      <c r="D5" s="5" t="s">
        <v>65</v>
      </c>
      <c r="E5" s="7">
        <v>85.63</v>
      </c>
      <c r="F5" s="8">
        <v>0.333</v>
      </c>
      <c r="G5" s="7">
        <f>VLOOKUP(C5,Provinsi[[#ALL],[Daerah]:[IDI]],4,0)</f>
        <v>6.82</v>
      </c>
      <c r="H5" s="9">
        <f>VLOOKUP(C5,Provinsi[[#ALL],[Daerah]:[IDI]],5,0)</f>
        <v>88.34</v>
      </c>
      <c r="I5" s="9">
        <f>(E5 - MIN(KabKota[IPM])) / (MAX(KabKota[IPM]) - MIN(KabKota[IPM])) * 100</f>
        <v>92.03252033</v>
      </c>
      <c r="J5" s="9">
        <f>(F5 - MIN(KabKota[IKF])) / (MAX(KabKota[IKF]) - MIN(KabKota[IKF])) * 100</f>
        <v>41.625</v>
      </c>
      <c r="K5" s="9">
        <f>(G5 - MIN(KabKota[TIK])) / (MAX(KabKota[TIK]) - MIN(KabKota[TIK])) * 100</f>
        <v>75.46296296</v>
      </c>
      <c r="L5" s="9">
        <f>(H5 - MIN(KabKota[IDI])) / (MAX(KabKota[IDI]) - MIN(KabKota[IDI])) * 100</f>
        <v>98.98039216</v>
      </c>
      <c r="M5" s="9">
        <f t="shared" si="1"/>
        <v>77.02521886</v>
      </c>
      <c r="N5" s="11">
        <f>_xlfn.RANK.EQ(M5,KabKota[Rata-rata Skor])</f>
        <v>4</v>
      </c>
      <c r="O5" s="6">
        <f>COUNTIFS(KabKota[Regional], B5, KabKota[Rata-rata Skor], "&gt;"&amp;M5) + 1</f>
        <v>3</v>
      </c>
    </row>
    <row r="6" ht="22.5" customHeight="1">
      <c r="A6" s="5">
        <v>226.0</v>
      </c>
      <c r="B6" s="5" t="s">
        <v>63</v>
      </c>
      <c r="C6" s="5" t="s">
        <v>16</v>
      </c>
      <c r="D6" s="5" t="s">
        <v>66</v>
      </c>
      <c r="E6" s="7">
        <v>86.35</v>
      </c>
      <c r="F6" s="8">
        <v>0.202</v>
      </c>
      <c r="G6" s="7">
        <f>VLOOKUP(C6,Provinsi[[#ALL],[Daerah]:[IDI]],4,0)</f>
        <v>7.36</v>
      </c>
      <c r="H6" s="9">
        <f>VLOOKUP(C6,Provinsi[[#ALL],[Daerah]:[IDI]],5,0)</f>
        <v>89.25</v>
      </c>
      <c r="I6" s="9">
        <f>(E6 - MIN(KabKota[IPM])) / (MAX(KabKota[IPM]) - MIN(KabKota[IPM])) * 100</f>
        <v>93.49593496</v>
      </c>
      <c r="J6" s="9">
        <f>(F6 - MIN(KabKota[IKF])) / (MAX(KabKota[IKF]) - MIN(KabKota[IKF])) * 100</f>
        <v>25.25</v>
      </c>
      <c r="K6" s="9">
        <f>(G6 - MIN(KabKota[TIK])) / (MAX(KabKota[TIK]) - MIN(KabKota[TIK])) * 100</f>
        <v>87.96296296</v>
      </c>
      <c r="L6" s="9">
        <f>(H6 - MIN(KabKota[IDI])) / (MAX(KabKota[IDI]) - MIN(KabKota[IDI])) * 100</f>
        <v>100</v>
      </c>
      <c r="M6" s="9">
        <f t="shared" si="1"/>
        <v>76.67722448</v>
      </c>
      <c r="N6" s="11">
        <f>_xlfn.RANK.EQ(M6,KabKota[Rata-rata Skor])</f>
        <v>5</v>
      </c>
      <c r="O6" s="6">
        <f>COUNTIFS(KabKota[Regional], B6, KabKota[Rata-rata Skor], "&gt;"&amp;M6) + 1</f>
        <v>2</v>
      </c>
    </row>
    <row r="7" ht="22.5" customHeight="1">
      <c r="A7" s="5">
        <v>257.0</v>
      </c>
      <c r="B7" s="5" t="s">
        <v>63</v>
      </c>
      <c r="C7" s="5" t="s">
        <v>23</v>
      </c>
      <c r="D7" s="5" t="s">
        <v>67</v>
      </c>
      <c r="E7" s="7">
        <v>82.71</v>
      </c>
      <c r="F7" s="8">
        <v>0.531</v>
      </c>
      <c r="G7" s="7">
        <f>VLOOKUP(C7,Provinsi[[#ALL],[Daerah]:[IDI]],4,0)</f>
        <v>6.07</v>
      </c>
      <c r="H7" s="9">
        <f>VLOOKUP(C7,Provinsi[[#ALL],[Daerah]:[IDI]],5,0)</f>
        <v>84.17</v>
      </c>
      <c r="I7" s="9">
        <f>(E7 - MIN(KabKota[IPM])) / (MAX(KabKota[IPM]) - MIN(KabKota[IPM])) * 100</f>
        <v>86.09756098</v>
      </c>
      <c r="J7" s="9">
        <f>(F7 - MIN(KabKota[IKF])) / (MAX(KabKota[IKF]) - MIN(KabKota[IKF])) * 100</f>
        <v>66.375</v>
      </c>
      <c r="K7" s="9">
        <f>(G7 - MIN(KabKota[TIK])) / (MAX(KabKota[TIK]) - MIN(KabKota[TIK])) * 100</f>
        <v>58.10185185</v>
      </c>
      <c r="L7" s="9">
        <f>(H7 - MIN(KabKota[IDI])) / (MAX(KabKota[IDI]) - MIN(KabKota[IDI])) * 100</f>
        <v>94.30812325</v>
      </c>
      <c r="M7" s="9">
        <f t="shared" si="1"/>
        <v>76.22063402</v>
      </c>
      <c r="N7" s="11">
        <f>_xlfn.RANK.EQ(M7,KabKota[Rata-rata Skor])</f>
        <v>6</v>
      </c>
      <c r="O7" s="6">
        <f>COUNTIFS(KabKota[Regional], B7, KabKota[Rata-rata Skor], "&gt;"&amp;M7) + 1</f>
        <v>3</v>
      </c>
    </row>
    <row r="8" ht="22.5" customHeight="1">
      <c r="A8" s="5">
        <v>259.0</v>
      </c>
      <c r="B8" s="5" t="s">
        <v>63</v>
      </c>
      <c r="C8" s="5" t="s">
        <v>23</v>
      </c>
      <c r="D8" s="5" t="s">
        <v>68</v>
      </c>
      <c r="E8" s="7">
        <v>85.55</v>
      </c>
      <c r="F8" s="8">
        <v>0.459</v>
      </c>
      <c r="G8" s="7">
        <f>VLOOKUP(C8,Provinsi[[#ALL],[Daerah]:[IDI]],4,0)</f>
        <v>6.07</v>
      </c>
      <c r="H8" s="9">
        <f>VLOOKUP(C8,Provinsi[[#ALL],[Daerah]:[IDI]],5,0)</f>
        <v>84.17</v>
      </c>
      <c r="I8" s="9">
        <f>(E8 - MIN(KabKota[IPM])) / (MAX(KabKota[IPM]) - MIN(KabKota[IPM])) * 100</f>
        <v>91.8699187</v>
      </c>
      <c r="J8" s="9">
        <f>(F8 - MIN(KabKota[IKF])) / (MAX(KabKota[IKF]) - MIN(KabKota[IKF])) * 100</f>
        <v>57.375</v>
      </c>
      <c r="K8" s="9">
        <f>(G8 - MIN(KabKota[TIK])) / (MAX(KabKota[TIK]) - MIN(KabKota[TIK])) * 100</f>
        <v>58.10185185</v>
      </c>
      <c r="L8" s="9">
        <f>(H8 - MIN(KabKota[IDI])) / (MAX(KabKota[IDI]) - MIN(KabKota[IDI])) * 100</f>
        <v>94.30812325</v>
      </c>
      <c r="M8" s="9">
        <f t="shared" si="1"/>
        <v>75.41372345</v>
      </c>
      <c r="N8" s="11">
        <f>_xlfn.RANK.EQ(M8,KabKota[Rata-rata Skor])</f>
        <v>7</v>
      </c>
      <c r="O8" s="6">
        <f>COUNTIFS(KabKota[Regional], B8, KabKota[Rata-rata Skor], "&gt;"&amp;M8) + 1</f>
        <v>4</v>
      </c>
    </row>
    <row r="9" ht="22.5" customHeight="1">
      <c r="A9" s="5">
        <v>273.0</v>
      </c>
      <c r="B9" s="5" t="s">
        <v>63</v>
      </c>
      <c r="C9" s="5" t="s">
        <v>22</v>
      </c>
      <c r="D9" s="5" t="s">
        <v>69</v>
      </c>
      <c r="E9" s="7">
        <v>84.81</v>
      </c>
      <c r="F9" s="8">
        <v>0.442</v>
      </c>
      <c r="G9" s="7">
        <f>VLOOKUP(C9,Provinsi[[#ALL],[Daerah]:[IDI]],4,0)</f>
        <v>6.46</v>
      </c>
      <c r="H9" s="9">
        <f>VLOOKUP(C9,Provinsi[[#ALL],[Daerah]:[IDI]],5,0)</f>
        <v>76.87</v>
      </c>
      <c r="I9" s="9">
        <f>(E9 - MIN(KabKota[IPM])) / (MAX(KabKota[IPM]) - MIN(KabKota[IPM])) * 100</f>
        <v>90.36585366</v>
      </c>
      <c r="J9" s="9">
        <f>(F9 - MIN(KabKota[IKF])) / (MAX(KabKota[IKF]) - MIN(KabKota[IKF])) * 100</f>
        <v>55.25</v>
      </c>
      <c r="K9" s="9">
        <f>(G9 - MIN(KabKota[TIK])) / (MAX(KabKota[TIK]) - MIN(KabKota[TIK])) * 100</f>
        <v>67.12962963</v>
      </c>
      <c r="L9" s="9">
        <f>(H9 - MIN(KabKota[IDI])) / (MAX(KabKota[IDI]) - MIN(KabKota[IDI])) * 100</f>
        <v>86.12885154</v>
      </c>
      <c r="M9" s="9">
        <f t="shared" si="1"/>
        <v>74.71858371</v>
      </c>
      <c r="N9" s="11">
        <f>_xlfn.RANK.EQ(M9,KabKota[Rata-rata Skor])</f>
        <v>8</v>
      </c>
      <c r="O9" s="6">
        <f>COUNTIFS(KabKota[Regional], B9, KabKota[Rata-rata Skor], "&gt;"&amp;M9) + 1</f>
        <v>5</v>
      </c>
    </row>
    <row r="10" ht="22.5" customHeight="1">
      <c r="A10" s="5">
        <v>153.0</v>
      </c>
      <c r="B10" s="5" t="s">
        <v>70</v>
      </c>
      <c r="C10" s="5" t="s">
        <v>24</v>
      </c>
      <c r="D10" s="5" t="s">
        <v>71</v>
      </c>
      <c r="E10" s="7">
        <v>83.8</v>
      </c>
      <c r="F10" s="8">
        <v>0.343</v>
      </c>
      <c r="G10" s="7">
        <f>VLOOKUP(C10,Provinsi[[#ALL],[Daerah]:[IDI]],4,0)</f>
        <v>6.8</v>
      </c>
      <c r="H10" s="9">
        <f>VLOOKUP(C10,Provinsi[[#ALL],[Daerah]:[IDI]],5,0)</f>
        <v>80.83</v>
      </c>
      <c r="I10" s="9">
        <f>(E10 - MIN(KabKota[IPM])) / (MAX(KabKota[IPM]) - MIN(KabKota[IPM])) * 100</f>
        <v>88.31300813</v>
      </c>
      <c r="J10" s="9">
        <f>(F10 - MIN(KabKota[IKF])) / (MAX(KabKota[IKF]) - MIN(KabKota[IKF])) * 100</f>
        <v>42.875</v>
      </c>
      <c r="K10" s="9">
        <f>(G10 - MIN(KabKota[TIK])) / (MAX(KabKota[TIK]) - MIN(KabKota[TIK])) * 100</f>
        <v>75</v>
      </c>
      <c r="L10" s="9">
        <f>(H10 - MIN(KabKota[IDI])) / (MAX(KabKota[IDI]) - MIN(KabKota[IDI])) * 100</f>
        <v>90.56582633</v>
      </c>
      <c r="M10" s="9">
        <f t="shared" si="1"/>
        <v>74.18845862</v>
      </c>
      <c r="N10" s="11">
        <f>_xlfn.RANK.EQ(M10,KabKota[Rata-rata Skor])</f>
        <v>9</v>
      </c>
      <c r="O10" s="6">
        <f>COUNTIFS(KabKota[Regional], B10, KabKota[Rata-rata Skor], "&gt;"&amp;M10) + 1</f>
        <v>1</v>
      </c>
    </row>
    <row r="11" ht="22.5" customHeight="1">
      <c r="A11" s="5">
        <v>220.0</v>
      </c>
      <c r="B11" s="5" t="s">
        <v>63</v>
      </c>
      <c r="C11" s="5" t="s">
        <v>30</v>
      </c>
      <c r="D11" s="5" t="s">
        <v>72</v>
      </c>
      <c r="E11" s="7">
        <v>85.8</v>
      </c>
      <c r="F11" s="8">
        <v>0.394</v>
      </c>
      <c r="G11" s="7">
        <f>VLOOKUP(C11,Provinsi[[#ALL],[Daerah]:[IDI]],4,0)</f>
        <v>5.98</v>
      </c>
      <c r="H11" s="9">
        <f>VLOOKUP(C11,Provinsi[[#ALL],[Daerah]:[IDI]],5,0)</f>
        <v>85.84</v>
      </c>
      <c r="I11" s="9">
        <f>(E11 - MIN(KabKota[IPM])) / (MAX(KabKota[IPM]) - MIN(KabKota[IPM])) * 100</f>
        <v>92.37804878</v>
      </c>
      <c r="J11" s="9">
        <f>(F11 - MIN(KabKota[IKF])) / (MAX(KabKota[IKF]) - MIN(KabKota[IKF])) * 100</f>
        <v>49.25</v>
      </c>
      <c r="K11" s="9">
        <f>(G11 - MIN(KabKota[TIK])) / (MAX(KabKota[TIK]) - MIN(KabKota[TIK])) * 100</f>
        <v>56.01851852</v>
      </c>
      <c r="L11" s="9">
        <f>(H11 - MIN(KabKota[IDI])) / (MAX(KabKota[IDI]) - MIN(KabKota[IDI])) * 100</f>
        <v>96.17927171</v>
      </c>
      <c r="M11" s="9">
        <f t="shared" si="1"/>
        <v>73.45645975</v>
      </c>
      <c r="N11" s="11">
        <f>_xlfn.RANK.EQ(M11,KabKota[Rata-rata Skor])</f>
        <v>10</v>
      </c>
      <c r="O11" s="6">
        <f>COUNTIFS(KabKota[Regional], B11, KabKota[Rata-rata Skor], "&gt;"&amp;M11) + 1</f>
        <v>6</v>
      </c>
    </row>
    <row r="12" ht="22.5" customHeight="1">
      <c r="A12" s="5">
        <v>156.0</v>
      </c>
      <c r="B12" s="5" t="s">
        <v>63</v>
      </c>
      <c r="C12" s="5" t="s">
        <v>15</v>
      </c>
      <c r="D12" s="5" t="s">
        <v>73</v>
      </c>
      <c r="E12" s="7">
        <v>88.51</v>
      </c>
      <c r="F12" s="8">
        <v>0.0</v>
      </c>
      <c r="G12" s="7">
        <f>VLOOKUP(C12,Provinsi[[#ALL],[Daerah]:[IDI]],4,0)</f>
        <v>7.88</v>
      </c>
      <c r="H12" s="9">
        <f>VLOOKUP(C12,Provinsi[[#ALL],[Daerah]:[IDI]],5,0)</f>
        <v>84.99</v>
      </c>
      <c r="I12" s="9">
        <f>(E12 - MIN(KabKota[IPM])) / (MAX(KabKota[IPM]) - MIN(KabKota[IPM])) * 100</f>
        <v>97.88617886</v>
      </c>
      <c r="J12" s="9">
        <f>(F12 - MIN(KabKota[IKF])) / (MAX(KabKota[IKF]) - MIN(KabKota[IKF])) * 100</f>
        <v>0</v>
      </c>
      <c r="K12" s="9">
        <f>(G12 - MIN(KabKota[TIK])) / (MAX(KabKota[TIK]) - MIN(KabKota[TIK])) * 100</f>
        <v>100</v>
      </c>
      <c r="L12" s="9">
        <f>(H12 - MIN(KabKota[IDI])) / (MAX(KabKota[IDI]) - MIN(KabKota[IDI])) * 100</f>
        <v>95.22689076</v>
      </c>
      <c r="M12" s="9">
        <f t="shared" si="1"/>
        <v>73.2782674</v>
      </c>
      <c r="N12" s="11">
        <f>_xlfn.RANK.EQ(M12,KabKota[Rata-rata Skor])</f>
        <v>11</v>
      </c>
      <c r="O12" s="6">
        <f>COUNTIFS(KabKota[Regional], B12, KabKota[Rata-rata Skor], "&gt;"&amp;M12) + 1</f>
        <v>7</v>
      </c>
    </row>
    <row r="13" ht="22.5" customHeight="1">
      <c r="A13" s="5">
        <v>179.0</v>
      </c>
      <c r="B13" s="5" t="s">
        <v>63</v>
      </c>
      <c r="C13" s="5" t="s">
        <v>19</v>
      </c>
      <c r="D13" s="5" t="s">
        <v>74</v>
      </c>
      <c r="E13" s="7">
        <v>79.75</v>
      </c>
      <c r="F13" s="8">
        <v>0.427</v>
      </c>
      <c r="G13" s="7">
        <f>VLOOKUP(C13,Provinsi[[#ALL],[Daerah]:[IDI]],4,0)</f>
        <v>6.33</v>
      </c>
      <c r="H13" s="9">
        <f>VLOOKUP(C13,Provinsi[[#ALL],[Daerah]:[IDI]],5,0)</f>
        <v>82.8</v>
      </c>
      <c r="I13" s="9">
        <f>(E13 - MIN(KabKota[IPM])) / (MAX(KabKota[IPM]) - MIN(KabKota[IPM])) * 100</f>
        <v>80.08130081</v>
      </c>
      <c r="J13" s="9">
        <f>(F13 - MIN(KabKota[IKF])) / (MAX(KabKota[IKF]) - MIN(KabKota[IKF])) * 100</f>
        <v>53.375</v>
      </c>
      <c r="K13" s="9">
        <f>(G13 - MIN(KabKota[TIK])) / (MAX(KabKota[TIK]) - MIN(KabKota[TIK])) * 100</f>
        <v>64.12037037</v>
      </c>
      <c r="L13" s="9">
        <f>(H13 - MIN(KabKota[IDI])) / (MAX(KabKota[IDI]) - MIN(KabKota[IDI])) * 100</f>
        <v>92.77310924</v>
      </c>
      <c r="M13" s="9">
        <f t="shared" si="1"/>
        <v>72.58744511</v>
      </c>
      <c r="N13" s="11">
        <f>_xlfn.RANK.EQ(M13,KabKota[Rata-rata Skor])</f>
        <v>12</v>
      </c>
      <c r="O13" s="6">
        <f>COUNTIFS(KabKota[Regional], B13, KabKota[Rata-rata Skor], "&gt;"&amp;M13) + 1</f>
        <v>8</v>
      </c>
    </row>
    <row r="14" ht="22.5" customHeight="1">
      <c r="A14" s="5">
        <v>391.0</v>
      </c>
      <c r="B14" s="5" t="s">
        <v>75</v>
      </c>
      <c r="C14" s="5" t="s">
        <v>47</v>
      </c>
      <c r="D14" s="5" t="s">
        <v>76</v>
      </c>
      <c r="E14" s="7">
        <v>74.7</v>
      </c>
      <c r="F14" s="8">
        <v>0.598</v>
      </c>
      <c r="G14" s="7">
        <f>VLOOKUP(C14,Provinsi[[#ALL],[Daerah]:[IDI]],4,0)</f>
        <v>5.93</v>
      </c>
      <c r="H14" s="9">
        <f>VLOOKUP(C14,Provinsi[[#ALL],[Daerah]:[IDI]],5,0)</f>
        <v>79.35</v>
      </c>
      <c r="I14" s="9">
        <f>(E14 - MIN(KabKota[IPM])) / (MAX(KabKota[IPM]) - MIN(KabKota[IPM])) * 100</f>
        <v>69.81707317</v>
      </c>
      <c r="J14" s="9">
        <f>(F14 - MIN(KabKota[IKF])) / (MAX(KabKota[IKF]) - MIN(KabKota[IKF])) * 100</f>
        <v>74.75</v>
      </c>
      <c r="K14" s="9">
        <f>(G14 - MIN(KabKota[TIK])) / (MAX(KabKota[TIK]) - MIN(KabKota[TIK])) * 100</f>
        <v>54.86111111</v>
      </c>
      <c r="L14" s="9">
        <f>(H14 - MIN(KabKota[IDI])) / (MAX(KabKota[IDI]) - MIN(KabKota[IDI])) * 100</f>
        <v>88.90756303</v>
      </c>
      <c r="M14" s="9">
        <f t="shared" si="1"/>
        <v>72.08393683</v>
      </c>
      <c r="N14" s="11">
        <f>_xlfn.RANK.EQ(M14,KabKota[Rata-rata Skor])</f>
        <v>13</v>
      </c>
      <c r="O14" s="6">
        <f>COUNTIFS(KabKota[Regional], B14, KabKota[Rata-rata Skor], "&gt;"&amp;M14) + 1</f>
        <v>1</v>
      </c>
    </row>
    <row r="15" ht="22.5" customHeight="1">
      <c r="A15" s="5">
        <v>333.0</v>
      </c>
      <c r="B15" s="5" t="s">
        <v>77</v>
      </c>
      <c r="C15" s="5" t="s">
        <v>40</v>
      </c>
      <c r="D15" s="5" t="s">
        <v>78</v>
      </c>
      <c r="E15" s="7">
        <v>73.58</v>
      </c>
      <c r="F15" s="8">
        <v>0.599</v>
      </c>
      <c r="G15" s="7">
        <f>VLOOKUP(C15,Provinsi[[#ALL],[Daerah]:[IDI]],4,0)</f>
        <v>6.02</v>
      </c>
      <c r="H15" s="9">
        <f>VLOOKUP(C15,Provinsi[[#ALL],[Daerah]:[IDI]],5,0)</f>
        <v>78.47</v>
      </c>
      <c r="I15" s="9">
        <f>(E15 - MIN(KabKota[IPM])) / (MAX(KabKota[IPM]) - MIN(KabKota[IPM])) * 100</f>
        <v>67.54065041</v>
      </c>
      <c r="J15" s="9">
        <f>(F15 - MIN(KabKota[IKF])) / (MAX(KabKota[IKF]) - MIN(KabKota[IKF])) * 100</f>
        <v>74.875</v>
      </c>
      <c r="K15" s="9">
        <f>(G15 - MIN(KabKota[TIK])) / (MAX(KabKota[TIK]) - MIN(KabKota[TIK])) * 100</f>
        <v>56.94444444</v>
      </c>
      <c r="L15" s="9">
        <f>(H15 - MIN(KabKota[IDI])) / (MAX(KabKota[IDI]) - MIN(KabKota[IDI])) * 100</f>
        <v>87.92156863</v>
      </c>
      <c r="M15" s="9">
        <f t="shared" si="1"/>
        <v>71.82041587</v>
      </c>
      <c r="N15" s="11">
        <f>_xlfn.RANK.EQ(M15,KabKota[Rata-rata Skor])</f>
        <v>14</v>
      </c>
      <c r="O15" s="6">
        <f>COUNTIFS(KabKota[Regional], B15, KabKota[Rata-rata Skor], "&gt;"&amp;M15) + 1</f>
        <v>1</v>
      </c>
    </row>
    <row r="16" ht="22.5" customHeight="1">
      <c r="A16" s="5">
        <v>184.0</v>
      </c>
      <c r="B16" s="5" t="s">
        <v>63</v>
      </c>
      <c r="C16" s="5" t="s">
        <v>19</v>
      </c>
      <c r="D16" s="5" t="s">
        <v>79</v>
      </c>
      <c r="E16" s="7">
        <v>84.04</v>
      </c>
      <c r="F16" s="8">
        <v>0.332</v>
      </c>
      <c r="G16" s="7">
        <f>VLOOKUP(C16,Provinsi[[#ALL],[Daerah]:[IDI]],4,0)</f>
        <v>6.33</v>
      </c>
      <c r="H16" s="9">
        <f>VLOOKUP(C16,Provinsi[[#ALL],[Daerah]:[IDI]],5,0)</f>
        <v>82.8</v>
      </c>
      <c r="I16" s="9">
        <f>(E16 - MIN(KabKota[IPM])) / (MAX(KabKota[IPM]) - MIN(KabKota[IPM])) * 100</f>
        <v>88.80081301</v>
      </c>
      <c r="J16" s="9">
        <f>(F16 - MIN(KabKota[IKF])) / (MAX(KabKota[IKF]) - MIN(KabKota[IKF])) * 100</f>
        <v>41.5</v>
      </c>
      <c r="K16" s="9">
        <f>(G16 - MIN(KabKota[TIK])) / (MAX(KabKota[TIK]) - MIN(KabKota[TIK])) * 100</f>
        <v>64.12037037</v>
      </c>
      <c r="L16" s="9">
        <f>(H16 - MIN(KabKota[IDI])) / (MAX(KabKota[IDI]) - MIN(KabKota[IDI])) * 100</f>
        <v>92.77310924</v>
      </c>
      <c r="M16" s="9">
        <f t="shared" si="1"/>
        <v>71.79857316</v>
      </c>
      <c r="N16" s="11">
        <f>_xlfn.RANK.EQ(M16,KabKota[Rata-rata Skor])</f>
        <v>15</v>
      </c>
      <c r="O16" s="6">
        <f>COUNTIFS(KabKota[Regional], B16, KabKota[Rata-rata Skor], "&gt;"&amp;M16) + 1</f>
        <v>9</v>
      </c>
    </row>
    <row r="17" ht="22.5" customHeight="1">
      <c r="A17" s="5">
        <v>157.0</v>
      </c>
      <c r="B17" s="5" t="s">
        <v>63</v>
      </c>
      <c r="C17" s="5" t="s">
        <v>15</v>
      </c>
      <c r="D17" s="5" t="s">
        <v>80</v>
      </c>
      <c r="E17" s="7">
        <v>85.51</v>
      </c>
      <c r="F17" s="8">
        <v>0.0</v>
      </c>
      <c r="G17" s="7">
        <f>VLOOKUP(C17,Provinsi[[#ALL],[Daerah]:[IDI]],4,0)</f>
        <v>7.88</v>
      </c>
      <c r="H17" s="9">
        <f>VLOOKUP(C17,Provinsi[[#ALL],[Daerah]:[IDI]],5,0)</f>
        <v>84.99</v>
      </c>
      <c r="I17" s="9">
        <f>(E17 - MIN(KabKota[IPM])) / (MAX(KabKota[IPM]) - MIN(KabKota[IPM])) * 100</f>
        <v>91.78861789</v>
      </c>
      <c r="J17" s="9">
        <f>(F17 - MIN(KabKota[IKF])) / (MAX(KabKota[IKF]) - MIN(KabKota[IKF])) * 100</f>
        <v>0</v>
      </c>
      <c r="K17" s="9">
        <f>(G17 - MIN(KabKota[TIK])) / (MAX(KabKota[TIK]) - MIN(KabKota[TIK])) * 100</f>
        <v>100</v>
      </c>
      <c r="L17" s="9">
        <f>(H17 - MIN(KabKota[IDI])) / (MAX(KabKota[IDI]) - MIN(KabKota[IDI])) * 100</f>
        <v>95.22689076</v>
      </c>
      <c r="M17" s="9">
        <f t="shared" si="1"/>
        <v>71.75387716</v>
      </c>
      <c r="N17" s="11">
        <f>_xlfn.RANK.EQ(M17,KabKota[Rata-rata Skor])</f>
        <v>16</v>
      </c>
      <c r="O17" s="6">
        <f>COUNTIFS(KabKota[Regional], B17, KabKota[Rata-rata Skor], "&gt;"&amp;M17) + 1</f>
        <v>10</v>
      </c>
    </row>
    <row r="18" ht="22.5" customHeight="1">
      <c r="A18" s="5">
        <v>159.0</v>
      </c>
      <c r="B18" s="5" t="s">
        <v>63</v>
      </c>
      <c r="C18" s="5" t="s">
        <v>15</v>
      </c>
      <c r="D18" s="5" t="s">
        <v>81</v>
      </c>
      <c r="E18" s="7">
        <v>85.18</v>
      </c>
      <c r="F18" s="8">
        <v>0.0</v>
      </c>
      <c r="G18" s="7">
        <f>VLOOKUP(C18,Provinsi[[#ALL],[Daerah]:[IDI]],4,0)</f>
        <v>7.88</v>
      </c>
      <c r="H18" s="9">
        <f>VLOOKUP(C18,Provinsi[[#ALL],[Daerah]:[IDI]],5,0)</f>
        <v>84.99</v>
      </c>
      <c r="I18" s="9">
        <f>(E18 - MIN(KabKota[IPM])) / (MAX(KabKota[IPM]) - MIN(KabKota[IPM])) * 100</f>
        <v>91.11788618</v>
      </c>
      <c r="J18" s="9">
        <f>(F18 - MIN(KabKota[IKF])) / (MAX(KabKota[IKF]) - MIN(KabKota[IKF])) * 100</f>
        <v>0</v>
      </c>
      <c r="K18" s="9">
        <f>(G18 - MIN(KabKota[TIK])) / (MAX(KabKota[TIK]) - MIN(KabKota[TIK])) * 100</f>
        <v>100</v>
      </c>
      <c r="L18" s="9">
        <f>(H18 - MIN(KabKota[IDI])) / (MAX(KabKota[IDI]) - MIN(KabKota[IDI])) * 100</f>
        <v>95.22689076</v>
      </c>
      <c r="M18" s="9">
        <f t="shared" si="1"/>
        <v>71.58619423</v>
      </c>
      <c r="N18" s="11">
        <f>_xlfn.RANK.EQ(M18,KabKota[Rata-rata Skor])</f>
        <v>17</v>
      </c>
      <c r="O18" s="6">
        <f>COUNTIFS(KabKota[Regional], B18, KabKota[Rata-rata Skor], "&gt;"&amp;M18) + 1</f>
        <v>11</v>
      </c>
    </row>
    <row r="19" ht="22.5" customHeight="1">
      <c r="A19" s="5">
        <v>382.0</v>
      </c>
      <c r="B19" s="5" t="s">
        <v>75</v>
      </c>
      <c r="C19" s="5" t="s">
        <v>37</v>
      </c>
      <c r="D19" s="5" t="s">
        <v>82</v>
      </c>
      <c r="E19" s="7">
        <v>82.4</v>
      </c>
      <c r="F19" s="8">
        <v>0.414</v>
      </c>
      <c r="G19" s="7">
        <f>VLOOKUP(C19,Provinsi[[#ALL],[Daerah]:[IDI]],4,0)</f>
        <v>6.03</v>
      </c>
      <c r="H19" s="9">
        <f>VLOOKUP(C19,Provinsi[[#ALL],[Daerah]:[IDI]],5,0)</f>
        <v>81.87</v>
      </c>
      <c r="I19" s="9">
        <f>(E19 - MIN(KabKota[IPM])) / (MAX(KabKota[IPM]) - MIN(KabKota[IPM])) * 100</f>
        <v>85.46747967</v>
      </c>
      <c r="J19" s="9">
        <f>(F19 - MIN(KabKota[IKF])) / (MAX(KabKota[IKF]) - MIN(KabKota[IKF])) * 100</f>
        <v>51.75</v>
      </c>
      <c r="K19" s="9">
        <f>(G19 - MIN(KabKota[TIK])) / (MAX(KabKota[TIK]) - MIN(KabKota[TIK])) * 100</f>
        <v>57.17592593</v>
      </c>
      <c r="L19" s="9">
        <f>(H19 - MIN(KabKota[IDI])) / (MAX(KabKota[IDI]) - MIN(KabKota[IDI])) * 100</f>
        <v>91.73109244</v>
      </c>
      <c r="M19" s="9">
        <f t="shared" si="1"/>
        <v>71.53112451</v>
      </c>
      <c r="N19" s="11">
        <f>_xlfn.RANK.EQ(M19,KabKota[Rata-rata Skor])</f>
        <v>18</v>
      </c>
      <c r="O19" s="6">
        <f>COUNTIFS(KabKota[Regional], B19, KabKota[Rata-rata Skor], "&gt;"&amp;M19) + 1</f>
        <v>2</v>
      </c>
    </row>
    <row r="20" ht="22.5" customHeight="1">
      <c r="A20" s="5">
        <v>420.0</v>
      </c>
      <c r="B20" s="5" t="s">
        <v>75</v>
      </c>
      <c r="C20" s="5" t="s">
        <v>32</v>
      </c>
      <c r="D20" s="5" t="s">
        <v>83</v>
      </c>
      <c r="E20" s="7">
        <v>85.66</v>
      </c>
      <c r="F20" s="8">
        <v>0.348</v>
      </c>
      <c r="G20" s="7">
        <f>VLOOKUP(C20,Provinsi[[#ALL],[Daerah]:[IDI]],4,0)</f>
        <v>6.21</v>
      </c>
      <c r="H20" s="9">
        <f>VLOOKUP(C20,Provinsi[[#ALL],[Daerah]:[IDI]],5,0)</f>
        <v>78.93</v>
      </c>
      <c r="I20" s="9">
        <f>(E20 - MIN(KabKota[IPM])) / (MAX(KabKota[IPM]) - MIN(KabKota[IPM])) * 100</f>
        <v>92.09349593</v>
      </c>
      <c r="J20" s="9">
        <f>(F20 - MIN(KabKota[IKF])) / (MAX(KabKota[IKF]) - MIN(KabKota[IKF])) * 100</f>
        <v>43.5</v>
      </c>
      <c r="K20" s="9">
        <f>(G20 - MIN(KabKota[TIK])) / (MAX(KabKota[TIK]) - MIN(KabKota[TIK])) * 100</f>
        <v>61.34259259</v>
      </c>
      <c r="L20" s="9">
        <f>(H20 - MIN(KabKota[IDI])) / (MAX(KabKota[IDI]) - MIN(KabKota[IDI])) * 100</f>
        <v>88.43697479</v>
      </c>
      <c r="M20" s="9">
        <f t="shared" si="1"/>
        <v>71.34326583</v>
      </c>
      <c r="N20" s="11">
        <f>_xlfn.RANK.EQ(M20,KabKota[Rata-rata Skor])</f>
        <v>19</v>
      </c>
      <c r="O20" s="6">
        <f>COUNTIFS(KabKota[Regional], B20, KabKota[Rata-rata Skor], "&gt;"&amp;M20) + 1</f>
        <v>3</v>
      </c>
    </row>
    <row r="21" ht="22.5" customHeight="1">
      <c r="A21" s="5">
        <v>158.0</v>
      </c>
      <c r="B21" s="5" t="s">
        <v>63</v>
      </c>
      <c r="C21" s="5" t="s">
        <v>15</v>
      </c>
      <c r="D21" s="5" t="s">
        <v>84</v>
      </c>
      <c r="E21" s="7">
        <v>84.45</v>
      </c>
      <c r="F21" s="8">
        <v>0.0</v>
      </c>
      <c r="G21" s="7">
        <f>VLOOKUP(C21,Provinsi[[#ALL],[Daerah]:[IDI]],4,0)</f>
        <v>7.88</v>
      </c>
      <c r="H21" s="9">
        <f>VLOOKUP(C21,Provinsi[[#ALL],[Daerah]:[IDI]],5,0)</f>
        <v>84.99</v>
      </c>
      <c r="I21" s="9">
        <f>(E21 - MIN(KabKota[IPM])) / (MAX(KabKota[IPM]) - MIN(KabKota[IPM])) * 100</f>
        <v>89.63414634</v>
      </c>
      <c r="J21" s="9">
        <f>(F21 - MIN(KabKota[IKF])) / (MAX(KabKota[IKF]) - MIN(KabKota[IKF])) * 100</f>
        <v>0</v>
      </c>
      <c r="K21" s="9">
        <f>(G21 - MIN(KabKota[TIK])) / (MAX(KabKota[TIK]) - MIN(KabKota[TIK])) * 100</f>
        <v>100</v>
      </c>
      <c r="L21" s="9">
        <f>(H21 - MIN(KabKota[IDI])) / (MAX(KabKota[IDI]) - MIN(KabKota[IDI])) * 100</f>
        <v>95.22689076</v>
      </c>
      <c r="M21" s="9">
        <f t="shared" si="1"/>
        <v>71.21525927</v>
      </c>
      <c r="N21" s="11">
        <f>_xlfn.RANK.EQ(M21,KabKota[Rata-rata Skor])</f>
        <v>20</v>
      </c>
      <c r="O21" s="6">
        <f>COUNTIFS(KabKota[Regional], B21, KabKota[Rata-rata Skor], "&gt;"&amp;M21) + 1</f>
        <v>12</v>
      </c>
    </row>
    <row r="22" ht="22.5" customHeight="1">
      <c r="A22" s="5">
        <v>249.0</v>
      </c>
      <c r="B22" s="5" t="s">
        <v>63</v>
      </c>
      <c r="C22" s="5" t="s">
        <v>23</v>
      </c>
      <c r="D22" s="5" t="s">
        <v>85</v>
      </c>
      <c r="E22" s="7">
        <v>73.74</v>
      </c>
      <c r="F22" s="8">
        <v>0.515</v>
      </c>
      <c r="G22" s="7">
        <f>VLOOKUP(C22,Provinsi[[#ALL],[Daerah]:[IDI]],4,0)</f>
        <v>6.07</v>
      </c>
      <c r="H22" s="9">
        <f>VLOOKUP(C22,Provinsi[[#ALL],[Daerah]:[IDI]],5,0)</f>
        <v>84.17</v>
      </c>
      <c r="I22" s="9">
        <f>(E22 - MIN(KabKota[IPM])) / (MAX(KabKota[IPM]) - MIN(KabKota[IPM])) * 100</f>
        <v>67.86585366</v>
      </c>
      <c r="J22" s="9">
        <f>(F22 - MIN(KabKota[IKF])) / (MAX(KabKota[IKF]) - MIN(KabKota[IKF])) * 100</f>
        <v>64.375</v>
      </c>
      <c r="K22" s="9">
        <f>(G22 - MIN(KabKota[TIK])) / (MAX(KabKota[TIK]) - MIN(KabKota[TIK])) * 100</f>
        <v>58.10185185</v>
      </c>
      <c r="L22" s="9">
        <f>(H22 - MIN(KabKota[IDI])) / (MAX(KabKota[IDI]) - MIN(KabKota[IDI])) * 100</f>
        <v>94.30812325</v>
      </c>
      <c r="M22" s="9">
        <f t="shared" si="1"/>
        <v>71.16270719</v>
      </c>
      <c r="N22" s="11">
        <f>_xlfn.RANK.EQ(M22,KabKota[Rata-rata Skor])</f>
        <v>21</v>
      </c>
      <c r="O22" s="6">
        <f>COUNTIFS(KabKota[Regional], B22, KabKota[Rata-rata Skor], "&gt;"&amp;M22) + 1</f>
        <v>13</v>
      </c>
    </row>
    <row r="23" ht="22.5" customHeight="1">
      <c r="A23" s="5">
        <v>181.0</v>
      </c>
      <c r="B23" s="5" t="s">
        <v>63</v>
      </c>
      <c r="C23" s="5" t="s">
        <v>19</v>
      </c>
      <c r="D23" s="5" t="s">
        <v>86</v>
      </c>
      <c r="E23" s="7">
        <v>84.66</v>
      </c>
      <c r="F23" s="8">
        <v>0.288</v>
      </c>
      <c r="G23" s="7">
        <f>VLOOKUP(C23,Provinsi[[#ALL],[Daerah]:[IDI]],4,0)</f>
        <v>6.33</v>
      </c>
      <c r="H23" s="9">
        <f>VLOOKUP(C23,Provinsi[[#ALL],[Daerah]:[IDI]],5,0)</f>
        <v>82.8</v>
      </c>
      <c r="I23" s="9">
        <f>(E23 - MIN(KabKota[IPM])) / (MAX(KabKota[IPM]) - MIN(KabKota[IPM])) * 100</f>
        <v>90.06097561</v>
      </c>
      <c r="J23" s="9">
        <f>(F23 - MIN(KabKota[IKF])) / (MAX(KabKota[IKF]) - MIN(KabKota[IKF])) * 100</f>
        <v>36</v>
      </c>
      <c r="K23" s="9">
        <f>(G23 - MIN(KabKota[TIK])) / (MAX(KabKota[TIK]) - MIN(KabKota[TIK])) * 100</f>
        <v>64.12037037</v>
      </c>
      <c r="L23" s="9">
        <f>(H23 - MIN(KabKota[IDI])) / (MAX(KabKota[IDI]) - MIN(KabKota[IDI])) * 100</f>
        <v>92.77310924</v>
      </c>
      <c r="M23" s="9">
        <f t="shared" si="1"/>
        <v>70.73861381</v>
      </c>
      <c r="N23" s="11">
        <f>_xlfn.RANK.EQ(M23,KabKota[Rata-rata Skor])</f>
        <v>22</v>
      </c>
      <c r="O23" s="6">
        <f>COUNTIFS(KabKota[Regional], B23, KabKota[Rata-rata Skor], "&gt;"&amp;M23) + 1</f>
        <v>14</v>
      </c>
    </row>
    <row r="24" ht="22.5" customHeight="1">
      <c r="A24" s="5">
        <v>160.0</v>
      </c>
      <c r="B24" s="5" t="s">
        <v>63</v>
      </c>
      <c r="C24" s="5" t="s">
        <v>15</v>
      </c>
      <c r="D24" s="5" t="s">
        <v>87</v>
      </c>
      <c r="E24" s="7">
        <v>83.12</v>
      </c>
      <c r="F24" s="8">
        <v>0.0</v>
      </c>
      <c r="G24" s="7">
        <f>VLOOKUP(C24,Provinsi[[#ALL],[Daerah]:[IDI]],4,0)</f>
        <v>7.88</v>
      </c>
      <c r="H24" s="9">
        <f>VLOOKUP(C24,Provinsi[[#ALL],[Daerah]:[IDI]],5,0)</f>
        <v>84.99</v>
      </c>
      <c r="I24" s="9">
        <f>(E24 - MIN(KabKota[IPM])) / (MAX(KabKota[IPM]) - MIN(KabKota[IPM])) * 100</f>
        <v>86.93089431</v>
      </c>
      <c r="J24" s="9">
        <f>(F24 - MIN(KabKota[IKF])) / (MAX(KabKota[IKF]) - MIN(KabKota[IKF])) * 100</f>
        <v>0</v>
      </c>
      <c r="K24" s="9">
        <f>(G24 - MIN(KabKota[TIK])) / (MAX(KabKota[TIK]) - MIN(KabKota[TIK])) * 100</f>
        <v>100</v>
      </c>
      <c r="L24" s="9">
        <f>(H24 - MIN(KabKota[IDI])) / (MAX(KabKota[IDI]) - MIN(KabKota[IDI])) * 100</f>
        <v>95.22689076</v>
      </c>
      <c r="M24" s="9">
        <f t="shared" si="1"/>
        <v>70.53944627</v>
      </c>
      <c r="N24" s="11">
        <f>_xlfn.RANK.EQ(M24,KabKota[Rata-rata Skor])</f>
        <v>23</v>
      </c>
      <c r="O24" s="6">
        <f>COUNTIFS(KabKota[Regional], B24, KabKota[Rata-rata Skor], "&gt;"&amp;M24) + 1</f>
        <v>15</v>
      </c>
    </row>
    <row r="25" ht="22.5" customHeight="1">
      <c r="A25" s="5">
        <v>264.0</v>
      </c>
      <c r="B25" s="5" t="s">
        <v>63</v>
      </c>
      <c r="C25" s="5" t="s">
        <v>23</v>
      </c>
      <c r="D25" s="5" t="s">
        <v>88</v>
      </c>
      <c r="E25" s="7">
        <v>85.65</v>
      </c>
      <c r="F25" s="8">
        <v>0.296</v>
      </c>
      <c r="G25" s="7">
        <f>VLOOKUP(C25,Provinsi[[#ALL],[Daerah]:[IDI]],4,0)</f>
        <v>6.07</v>
      </c>
      <c r="H25" s="9">
        <f>VLOOKUP(C25,Provinsi[[#ALL],[Daerah]:[IDI]],5,0)</f>
        <v>84.17</v>
      </c>
      <c r="I25" s="9">
        <f>(E25 - MIN(KabKota[IPM])) / (MAX(KabKota[IPM]) - MIN(KabKota[IPM])) * 100</f>
        <v>92.07317073</v>
      </c>
      <c r="J25" s="9">
        <f>(F25 - MIN(KabKota[IKF])) / (MAX(KabKota[IKF]) - MIN(KabKota[IKF])) * 100</f>
        <v>37</v>
      </c>
      <c r="K25" s="9">
        <f>(G25 - MIN(KabKota[TIK])) / (MAX(KabKota[TIK]) - MIN(KabKota[TIK])) * 100</f>
        <v>58.10185185</v>
      </c>
      <c r="L25" s="9">
        <f>(H25 - MIN(KabKota[IDI])) / (MAX(KabKota[IDI]) - MIN(KabKota[IDI])) * 100</f>
        <v>94.30812325</v>
      </c>
      <c r="M25" s="9">
        <f t="shared" si="1"/>
        <v>70.37078646</v>
      </c>
      <c r="N25" s="11">
        <f>_xlfn.RANK.EQ(M25,KabKota[Rata-rata Skor])</f>
        <v>24</v>
      </c>
      <c r="O25" s="6">
        <f>COUNTIFS(KabKota[Regional], B25, KabKota[Rata-rata Skor], "&gt;"&amp;M25) + 1</f>
        <v>16</v>
      </c>
    </row>
    <row r="26" ht="22.5" customHeight="1">
      <c r="A26" s="5">
        <v>49.0</v>
      </c>
      <c r="B26" s="5" t="s">
        <v>70</v>
      </c>
      <c r="C26" s="5" t="s">
        <v>21</v>
      </c>
      <c r="D26" s="5" t="s">
        <v>89</v>
      </c>
      <c r="E26" s="7">
        <v>83.74</v>
      </c>
      <c r="F26" s="8">
        <v>0.332</v>
      </c>
      <c r="G26" s="7">
        <f>VLOOKUP(C26,Provinsi[[#ALL],[Daerah]:[IDI]],4,0)</f>
        <v>6.2</v>
      </c>
      <c r="H26" s="9">
        <f>VLOOKUP(C26,Provinsi[[#ALL],[Daerah]:[IDI]],5,0)</f>
        <v>80.19</v>
      </c>
      <c r="I26" s="9">
        <f>(E26 - MIN(KabKota[IPM])) / (MAX(KabKota[IPM]) - MIN(KabKota[IPM])) * 100</f>
        <v>88.19105691</v>
      </c>
      <c r="J26" s="9">
        <f>(F26 - MIN(KabKota[IKF])) / (MAX(KabKota[IKF]) - MIN(KabKota[IKF])) * 100</f>
        <v>41.5</v>
      </c>
      <c r="K26" s="9">
        <f>(G26 - MIN(KabKota[TIK])) / (MAX(KabKota[TIK]) - MIN(KabKota[TIK])) * 100</f>
        <v>61.11111111</v>
      </c>
      <c r="L26" s="9">
        <f>(H26 - MIN(KabKota[IDI])) / (MAX(KabKota[IDI]) - MIN(KabKota[IDI])) * 100</f>
        <v>89.8487395</v>
      </c>
      <c r="M26" s="9">
        <f t="shared" si="1"/>
        <v>70.16272688</v>
      </c>
      <c r="N26" s="11">
        <f>_xlfn.RANK.EQ(M26,KabKota[Rata-rata Skor])</f>
        <v>25</v>
      </c>
      <c r="O26" s="6">
        <f>COUNTIFS(KabKota[Regional], B26, KabKota[Rata-rata Skor], "&gt;"&amp;M26) + 1</f>
        <v>2</v>
      </c>
    </row>
    <row r="27" ht="22.5" customHeight="1">
      <c r="A27" s="5">
        <v>224.0</v>
      </c>
      <c r="B27" s="5" t="s">
        <v>63</v>
      </c>
      <c r="C27" s="5" t="s">
        <v>16</v>
      </c>
      <c r="D27" s="5" t="s">
        <v>90</v>
      </c>
      <c r="E27" s="7">
        <v>83.03</v>
      </c>
      <c r="F27" s="8">
        <v>0.035</v>
      </c>
      <c r="G27" s="7">
        <f>VLOOKUP(C27,Provinsi[[#ALL],[Daerah]:[IDI]],4,0)</f>
        <v>7.36</v>
      </c>
      <c r="H27" s="9">
        <f>VLOOKUP(C27,Provinsi[[#ALL],[Daerah]:[IDI]],5,0)</f>
        <v>89.25</v>
      </c>
      <c r="I27" s="9">
        <f>(E27 - MIN(KabKota[IPM])) / (MAX(KabKota[IPM]) - MIN(KabKota[IPM])) * 100</f>
        <v>86.74796748</v>
      </c>
      <c r="J27" s="9">
        <f>(F27 - MIN(KabKota[IKF])) / (MAX(KabKota[IKF]) - MIN(KabKota[IKF])) * 100</f>
        <v>4.375</v>
      </c>
      <c r="K27" s="9">
        <f>(G27 - MIN(KabKota[TIK])) / (MAX(KabKota[TIK]) - MIN(KabKota[TIK])) * 100</f>
        <v>87.96296296</v>
      </c>
      <c r="L27" s="9">
        <f>(H27 - MIN(KabKota[IDI])) / (MAX(KabKota[IDI]) - MIN(KabKota[IDI])) * 100</f>
        <v>100</v>
      </c>
      <c r="M27" s="9">
        <f t="shared" si="1"/>
        <v>69.77148261</v>
      </c>
      <c r="N27" s="11">
        <f>_xlfn.RANK.EQ(M27,KabKota[Rata-rata Skor])</f>
        <v>26</v>
      </c>
      <c r="O27" s="6">
        <f>COUNTIFS(KabKota[Regional], B27, KabKota[Rata-rata Skor], "&gt;"&amp;M27) + 1</f>
        <v>17</v>
      </c>
    </row>
    <row r="28" ht="22.5" customHeight="1">
      <c r="A28" s="5">
        <v>327.0</v>
      </c>
      <c r="B28" s="5" t="s">
        <v>77</v>
      </c>
      <c r="C28" s="5" t="s">
        <v>35</v>
      </c>
      <c r="D28" s="5" t="s">
        <v>91</v>
      </c>
      <c r="E28" s="7">
        <v>82.8</v>
      </c>
      <c r="F28" s="8">
        <v>0.33</v>
      </c>
      <c r="G28" s="7">
        <f>VLOOKUP(C28,Provinsi[[#ALL],[Daerah]:[IDI]],4,0)</f>
        <v>5.9</v>
      </c>
      <c r="H28" s="9">
        <f>VLOOKUP(C28,Provinsi[[#ALL],[Daerah]:[IDI]],5,0)</f>
        <v>86.17</v>
      </c>
      <c r="I28" s="9">
        <f>(E28 - MIN(KabKota[IPM])) / (MAX(KabKota[IPM]) - MIN(KabKota[IPM])) * 100</f>
        <v>86.2804878</v>
      </c>
      <c r="J28" s="9">
        <f>(F28 - MIN(KabKota[IKF])) / (MAX(KabKota[IKF]) - MIN(KabKota[IKF])) * 100</f>
        <v>41.25</v>
      </c>
      <c r="K28" s="9">
        <f>(G28 - MIN(KabKota[TIK])) / (MAX(KabKota[TIK]) - MIN(KabKota[TIK])) * 100</f>
        <v>54.16666667</v>
      </c>
      <c r="L28" s="9">
        <f>(H28 - MIN(KabKota[IDI])) / (MAX(KabKota[IDI]) - MIN(KabKota[IDI])) * 100</f>
        <v>96.54901961</v>
      </c>
      <c r="M28" s="9">
        <f t="shared" si="1"/>
        <v>69.56154352</v>
      </c>
      <c r="N28" s="11">
        <f>_xlfn.RANK.EQ(M28,KabKota[Rata-rata Skor])</f>
        <v>27</v>
      </c>
      <c r="O28" s="6">
        <f>COUNTIFS(KabKota[Regional], B28, KabKota[Rata-rata Skor], "&gt;"&amp;M28) + 1</f>
        <v>2</v>
      </c>
    </row>
    <row r="29" ht="22.5" customHeight="1">
      <c r="A29" s="5">
        <v>263.0</v>
      </c>
      <c r="B29" s="5" t="s">
        <v>63</v>
      </c>
      <c r="C29" s="5" t="s">
        <v>23</v>
      </c>
      <c r="D29" s="5" t="s">
        <v>92</v>
      </c>
      <c r="E29" s="7">
        <v>85.12</v>
      </c>
      <c r="F29" s="8">
        <v>0.275</v>
      </c>
      <c r="G29" s="7">
        <f>VLOOKUP(C29,Provinsi[[#ALL],[Daerah]:[IDI]],4,0)</f>
        <v>6.07</v>
      </c>
      <c r="H29" s="9">
        <f>VLOOKUP(C29,Provinsi[[#ALL],[Daerah]:[IDI]],5,0)</f>
        <v>84.17</v>
      </c>
      <c r="I29" s="9">
        <f>(E29 - MIN(KabKota[IPM])) / (MAX(KabKota[IPM]) - MIN(KabKota[IPM])) * 100</f>
        <v>90.99593496</v>
      </c>
      <c r="J29" s="9">
        <f>(F29 - MIN(KabKota[IKF])) / (MAX(KabKota[IKF]) - MIN(KabKota[IKF])) * 100</f>
        <v>34.375</v>
      </c>
      <c r="K29" s="9">
        <f>(G29 - MIN(KabKota[TIK])) / (MAX(KabKota[TIK]) - MIN(KabKota[TIK])) * 100</f>
        <v>58.10185185</v>
      </c>
      <c r="L29" s="9">
        <f>(H29 - MIN(KabKota[IDI])) / (MAX(KabKota[IDI]) - MIN(KabKota[IDI])) * 100</f>
        <v>94.30812325</v>
      </c>
      <c r="M29" s="9">
        <f t="shared" si="1"/>
        <v>69.44522752</v>
      </c>
      <c r="N29" s="11">
        <f>_xlfn.RANK.EQ(M29,KabKota[Rata-rata Skor])</f>
        <v>28</v>
      </c>
      <c r="O29" s="6">
        <f>COUNTIFS(KabKota[Regional], B29, KabKota[Rata-rata Skor], "&gt;"&amp;M29) + 1</f>
        <v>18</v>
      </c>
    </row>
    <row r="30" ht="22.5" customHeight="1">
      <c r="A30" s="5">
        <v>219.0</v>
      </c>
      <c r="B30" s="5" t="s">
        <v>63</v>
      </c>
      <c r="C30" s="5" t="s">
        <v>30</v>
      </c>
      <c r="D30" s="5" t="s">
        <v>93</v>
      </c>
      <c r="E30" s="7">
        <v>86.23</v>
      </c>
      <c r="F30" s="8">
        <v>0.251</v>
      </c>
      <c r="G30" s="7">
        <f>VLOOKUP(C30,Provinsi[[#ALL],[Daerah]:[IDI]],4,0)</f>
        <v>5.98</v>
      </c>
      <c r="H30" s="9">
        <f>VLOOKUP(C30,Provinsi[[#ALL],[Daerah]:[IDI]],5,0)</f>
        <v>85.84</v>
      </c>
      <c r="I30" s="9">
        <f>(E30 - MIN(KabKota[IPM])) / (MAX(KabKota[IPM]) - MIN(KabKota[IPM])) * 100</f>
        <v>93.25203252</v>
      </c>
      <c r="J30" s="9">
        <f>(F30 - MIN(KabKota[IKF])) / (MAX(KabKota[IKF]) - MIN(KabKota[IKF])) * 100</f>
        <v>31.375</v>
      </c>
      <c r="K30" s="9">
        <f>(G30 - MIN(KabKota[TIK])) / (MAX(KabKota[TIK]) - MIN(KabKota[TIK])) * 100</f>
        <v>56.01851852</v>
      </c>
      <c r="L30" s="9">
        <f>(H30 - MIN(KabKota[IDI])) / (MAX(KabKota[IDI]) - MIN(KabKota[IDI])) * 100</f>
        <v>96.17927171</v>
      </c>
      <c r="M30" s="9">
        <f t="shared" si="1"/>
        <v>69.20620569</v>
      </c>
      <c r="N30" s="11">
        <f>_xlfn.RANK.EQ(M30,KabKota[Rata-rata Skor])</f>
        <v>29</v>
      </c>
      <c r="O30" s="6">
        <f>COUNTIFS(KabKota[Regional], B30, KabKota[Rata-rata Skor], "&gt;"&amp;M30) + 1</f>
        <v>19</v>
      </c>
    </row>
    <row r="31" ht="22.5" customHeight="1">
      <c r="A31" s="5">
        <v>268.0</v>
      </c>
      <c r="B31" s="5" t="s">
        <v>63</v>
      </c>
      <c r="C31" s="5" t="s">
        <v>22</v>
      </c>
      <c r="D31" s="5" t="s">
        <v>94</v>
      </c>
      <c r="E31" s="7">
        <v>76.74</v>
      </c>
      <c r="F31" s="8">
        <v>0.39</v>
      </c>
      <c r="G31" s="7">
        <f>VLOOKUP(C31,Provinsi[[#ALL],[Daerah]:[IDI]],4,0)</f>
        <v>6.46</v>
      </c>
      <c r="H31" s="9">
        <f>VLOOKUP(C31,Provinsi[[#ALL],[Daerah]:[IDI]],5,0)</f>
        <v>76.87</v>
      </c>
      <c r="I31" s="9">
        <f>(E31 - MIN(KabKota[IPM])) / (MAX(KabKota[IPM]) - MIN(KabKota[IPM])) * 100</f>
        <v>73.96341463</v>
      </c>
      <c r="J31" s="9">
        <f>(F31 - MIN(KabKota[IKF])) / (MAX(KabKota[IKF]) - MIN(KabKota[IKF])) * 100</f>
        <v>48.75</v>
      </c>
      <c r="K31" s="9">
        <f>(G31 - MIN(KabKota[TIK])) / (MAX(KabKota[TIK]) - MIN(KabKota[TIK])) * 100</f>
        <v>67.12962963</v>
      </c>
      <c r="L31" s="9">
        <f>(H31 - MIN(KabKota[IDI])) / (MAX(KabKota[IDI]) - MIN(KabKota[IDI])) * 100</f>
        <v>86.12885154</v>
      </c>
      <c r="M31" s="9">
        <f t="shared" si="1"/>
        <v>68.99297395</v>
      </c>
      <c r="N31" s="11">
        <f>_xlfn.RANK.EQ(M31,KabKota[Rata-rata Skor])</f>
        <v>30</v>
      </c>
      <c r="O31" s="6">
        <f>COUNTIFS(KabKota[Regional], B31, KabKota[Rata-rata Skor], "&gt;"&amp;M31) + 1</f>
        <v>20</v>
      </c>
    </row>
    <row r="32" ht="22.5" customHeight="1">
      <c r="A32" s="5">
        <v>270.0</v>
      </c>
      <c r="B32" s="5" t="s">
        <v>63</v>
      </c>
      <c r="C32" s="5" t="s">
        <v>22</v>
      </c>
      <c r="D32" s="5" t="s">
        <v>95</v>
      </c>
      <c r="E32" s="7">
        <v>82.41</v>
      </c>
      <c r="F32" s="8">
        <v>0.28</v>
      </c>
      <c r="G32" s="7">
        <f>VLOOKUP(C32,Provinsi[[#ALL],[Daerah]:[IDI]],4,0)</f>
        <v>6.46</v>
      </c>
      <c r="H32" s="9">
        <f>VLOOKUP(C32,Provinsi[[#ALL],[Daerah]:[IDI]],5,0)</f>
        <v>76.87</v>
      </c>
      <c r="I32" s="9">
        <f>(E32 - MIN(KabKota[IPM])) / (MAX(KabKota[IPM]) - MIN(KabKota[IPM])) * 100</f>
        <v>85.48780488</v>
      </c>
      <c r="J32" s="9">
        <f>(F32 - MIN(KabKota[IKF])) / (MAX(KabKota[IKF]) - MIN(KabKota[IKF])) * 100</f>
        <v>35</v>
      </c>
      <c r="K32" s="9">
        <f>(G32 - MIN(KabKota[TIK])) / (MAX(KabKota[TIK]) - MIN(KabKota[TIK])) * 100</f>
        <v>67.12962963</v>
      </c>
      <c r="L32" s="9">
        <f>(H32 - MIN(KabKota[IDI])) / (MAX(KabKota[IDI]) - MIN(KabKota[IDI])) * 100</f>
        <v>86.12885154</v>
      </c>
      <c r="M32" s="9">
        <f t="shared" si="1"/>
        <v>68.43657151</v>
      </c>
      <c r="N32" s="11">
        <f>_xlfn.RANK.EQ(M32,KabKota[Rata-rata Skor])</f>
        <v>31</v>
      </c>
      <c r="O32" s="6">
        <f>COUNTIFS(KabKota[Regional], B32, KabKota[Rata-rata Skor], "&gt;"&amp;M32) + 1</f>
        <v>21</v>
      </c>
    </row>
    <row r="33" ht="22.5" customHeight="1">
      <c r="A33" s="5">
        <v>359.0</v>
      </c>
      <c r="B33" s="5" t="s">
        <v>77</v>
      </c>
      <c r="C33" s="5" t="s">
        <v>28</v>
      </c>
      <c r="D33" s="5" t="s">
        <v>96</v>
      </c>
      <c r="E33" s="7">
        <v>75.38</v>
      </c>
      <c r="F33" s="8">
        <v>0.304</v>
      </c>
      <c r="G33" s="7">
        <f>VLOOKUP(C33,Provinsi[[#ALL],[Daerah]:[IDI]],4,0)</f>
        <v>6.73</v>
      </c>
      <c r="H33" s="9">
        <f>VLOOKUP(C33,Provinsi[[#ALL],[Daerah]:[IDI]],5,0)</f>
        <v>80.69</v>
      </c>
      <c r="I33" s="9">
        <f>(E33 - MIN(KabKota[IPM])) / (MAX(KabKota[IPM]) - MIN(KabKota[IPM])) * 100</f>
        <v>71.19918699</v>
      </c>
      <c r="J33" s="9">
        <f>(F33 - MIN(KabKota[IKF])) / (MAX(KabKota[IKF]) - MIN(KabKota[IKF])) * 100</f>
        <v>38</v>
      </c>
      <c r="K33" s="9">
        <f>(G33 - MIN(KabKota[TIK])) / (MAX(KabKota[TIK]) - MIN(KabKota[TIK])) * 100</f>
        <v>73.37962963</v>
      </c>
      <c r="L33" s="9">
        <f>(H33 - MIN(KabKota[IDI])) / (MAX(KabKota[IDI]) - MIN(KabKota[IDI])) * 100</f>
        <v>90.40896359</v>
      </c>
      <c r="M33" s="9">
        <f t="shared" si="1"/>
        <v>68.24694505</v>
      </c>
      <c r="N33" s="11">
        <f>_xlfn.RANK.EQ(M33,KabKota[Rata-rata Skor])</f>
        <v>32</v>
      </c>
      <c r="O33" s="6">
        <f>COUNTIFS(KabKota[Regional], B33, KabKota[Rata-rata Skor], "&gt;"&amp;M33) + 1</f>
        <v>3</v>
      </c>
    </row>
    <row r="34" ht="22.5" customHeight="1">
      <c r="A34" s="5">
        <v>175.0</v>
      </c>
      <c r="B34" s="5" t="s">
        <v>63</v>
      </c>
      <c r="C34" s="5" t="s">
        <v>19</v>
      </c>
      <c r="D34" s="5" t="s">
        <v>97</v>
      </c>
      <c r="E34" s="7">
        <v>74.59</v>
      </c>
      <c r="F34" s="8">
        <v>0.358</v>
      </c>
      <c r="G34" s="7">
        <f>VLOOKUP(C34,Provinsi[[#ALL],[Daerah]:[IDI]],4,0)</f>
        <v>6.33</v>
      </c>
      <c r="H34" s="9">
        <f>VLOOKUP(C34,Provinsi[[#ALL],[Daerah]:[IDI]],5,0)</f>
        <v>82.8</v>
      </c>
      <c r="I34" s="9">
        <f>(E34 - MIN(KabKota[IPM])) / (MAX(KabKota[IPM]) - MIN(KabKota[IPM])) * 100</f>
        <v>69.59349593</v>
      </c>
      <c r="J34" s="9">
        <f>(F34 - MIN(KabKota[IKF])) / (MAX(KabKota[IKF]) - MIN(KabKota[IKF])) * 100</f>
        <v>44.75</v>
      </c>
      <c r="K34" s="9">
        <f>(G34 - MIN(KabKota[TIK])) / (MAX(KabKota[TIK]) - MIN(KabKota[TIK])) * 100</f>
        <v>64.12037037</v>
      </c>
      <c r="L34" s="9">
        <f>(H34 - MIN(KabKota[IDI])) / (MAX(KabKota[IDI]) - MIN(KabKota[IDI])) * 100</f>
        <v>92.77310924</v>
      </c>
      <c r="M34" s="9">
        <f t="shared" si="1"/>
        <v>67.80924389</v>
      </c>
      <c r="N34" s="11">
        <f>_xlfn.RANK.EQ(M34,KabKota[Rata-rata Skor])</f>
        <v>33</v>
      </c>
      <c r="O34" s="6">
        <f>COUNTIFS(KabKota[Regional], B34, KabKota[Rata-rata Skor], "&gt;"&amp;M34) + 1</f>
        <v>22</v>
      </c>
    </row>
    <row r="35" ht="22.5" customHeight="1">
      <c r="A35" s="5">
        <v>155.0</v>
      </c>
      <c r="B35" s="5" t="s">
        <v>63</v>
      </c>
      <c r="C35" s="5" t="s">
        <v>15</v>
      </c>
      <c r="D35" s="5" t="s">
        <v>98</v>
      </c>
      <c r="E35" s="7">
        <v>77.52</v>
      </c>
      <c r="F35" s="8">
        <v>0.0</v>
      </c>
      <c r="G35" s="7">
        <f>VLOOKUP(C35,Provinsi[[#ALL],[Daerah]:[IDI]],4,0)</f>
        <v>7.88</v>
      </c>
      <c r="H35" s="9">
        <f>VLOOKUP(C35,Provinsi[[#ALL],[Daerah]:[IDI]],5,0)</f>
        <v>84.99</v>
      </c>
      <c r="I35" s="9">
        <f>(E35 - MIN(KabKota[IPM])) / (MAX(KabKota[IPM]) - MIN(KabKota[IPM])) * 100</f>
        <v>75.54878049</v>
      </c>
      <c r="J35" s="9">
        <f>(F35 - MIN(KabKota[IKF])) / (MAX(KabKota[IKF]) - MIN(KabKota[IKF])) * 100</f>
        <v>0</v>
      </c>
      <c r="K35" s="9">
        <f>(G35 - MIN(KabKota[TIK])) / (MAX(KabKota[TIK]) - MIN(KabKota[TIK])) * 100</f>
        <v>100</v>
      </c>
      <c r="L35" s="9">
        <f>(H35 - MIN(KabKota[IDI])) / (MAX(KabKota[IDI]) - MIN(KabKota[IDI])) * 100</f>
        <v>95.22689076</v>
      </c>
      <c r="M35" s="9">
        <f t="shared" si="1"/>
        <v>67.69391781</v>
      </c>
      <c r="N35" s="11">
        <f>_xlfn.RANK.EQ(M35,KabKota[Rata-rata Skor])</f>
        <v>34</v>
      </c>
      <c r="O35" s="6">
        <f>COUNTIFS(KabKota[Regional], B35, KabKota[Rata-rata Skor], "&gt;"&amp;M35) + 1</f>
        <v>23</v>
      </c>
    </row>
    <row r="36" ht="22.5" customHeight="1">
      <c r="A36" s="5">
        <v>223.0</v>
      </c>
      <c r="B36" s="5" t="s">
        <v>63</v>
      </c>
      <c r="C36" s="5" t="s">
        <v>16</v>
      </c>
      <c r="D36" s="5" t="s">
        <v>99</v>
      </c>
      <c r="E36" s="7">
        <v>76.97</v>
      </c>
      <c r="F36" s="8">
        <v>0.065</v>
      </c>
      <c r="G36" s="7">
        <f>VLOOKUP(C36,Provinsi[[#ALL],[Daerah]:[IDI]],4,0)</f>
        <v>7.36</v>
      </c>
      <c r="H36" s="9">
        <f>VLOOKUP(C36,Provinsi[[#ALL],[Daerah]:[IDI]],5,0)</f>
        <v>89.25</v>
      </c>
      <c r="I36" s="9">
        <f>(E36 - MIN(KabKota[IPM])) / (MAX(KabKota[IPM]) - MIN(KabKota[IPM])) * 100</f>
        <v>74.43089431</v>
      </c>
      <c r="J36" s="9">
        <f>(F36 - MIN(KabKota[IKF])) / (MAX(KabKota[IKF]) - MIN(KabKota[IKF])) * 100</f>
        <v>8.125</v>
      </c>
      <c r="K36" s="9">
        <f>(G36 - MIN(KabKota[TIK])) / (MAX(KabKota[TIK]) - MIN(KabKota[TIK])) * 100</f>
        <v>87.96296296</v>
      </c>
      <c r="L36" s="9">
        <f>(H36 - MIN(KabKota[IDI])) / (MAX(KabKota[IDI]) - MIN(KabKota[IDI])) * 100</f>
        <v>100</v>
      </c>
      <c r="M36" s="9">
        <f t="shared" si="1"/>
        <v>67.62971432</v>
      </c>
      <c r="N36" s="11">
        <f>_xlfn.RANK.EQ(M36,KabKota[Rata-rata Skor])</f>
        <v>35</v>
      </c>
      <c r="O36" s="6">
        <f>COUNTIFS(KabKota[Regional], B36, KabKota[Rata-rata Skor], "&gt;"&amp;M36) + 1</f>
        <v>24</v>
      </c>
    </row>
    <row r="37" ht="22.5" customHeight="1">
      <c r="A37" s="5">
        <v>289.0</v>
      </c>
      <c r="B37" s="5" t="s">
        <v>60</v>
      </c>
      <c r="C37" s="5" t="s">
        <v>45</v>
      </c>
      <c r="D37" s="5" t="s">
        <v>100</v>
      </c>
      <c r="E37" s="7">
        <v>76.46</v>
      </c>
      <c r="F37" s="8">
        <v>0.457</v>
      </c>
      <c r="G37" s="7">
        <f>VLOOKUP(C37,Provinsi[[#ALL],[Daerah]:[IDI]],4,0)</f>
        <v>5.88</v>
      </c>
      <c r="H37" s="9">
        <f>VLOOKUP(C37,Provinsi[[#ALL],[Daerah]:[IDI]],5,0)</f>
        <v>76.37</v>
      </c>
      <c r="I37" s="9">
        <f>(E37 - MIN(KabKota[IPM])) / (MAX(KabKota[IPM]) - MIN(KabKota[IPM])) * 100</f>
        <v>73.39430894</v>
      </c>
      <c r="J37" s="9">
        <f>(F37 - MIN(KabKota[IKF])) / (MAX(KabKota[IKF]) - MIN(KabKota[IKF])) * 100</f>
        <v>57.125</v>
      </c>
      <c r="K37" s="9">
        <f>(G37 - MIN(KabKota[TIK])) / (MAX(KabKota[TIK]) - MIN(KabKota[TIK])) * 100</f>
        <v>53.7037037</v>
      </c>
      <c r="L37" s="9">
        <f>(H37 - MIN(KabKota[IDI])) / (MAX(KabKota[IDI]) - MIN(KabKota[IDI])) * 100</f>
        <v>85.56862745</v>
      </c>
      <c r="M37" s="9">
        <f t="shared" si="1"/>
        <v>67.44791002</v>
      </c>
      <c r="N37" s="11">
        <f>_xlfn.RANK.EQ(M37,KabKota[Rata-rata Skor])</f>
        <v>36</v>
      </c>
      <c r="O37" s="6">
        <f>COUNTIFS(KabKota[Regional], B37, KabKota[Rata-rata Skor], "&gt;"&amp;M37) + 1</f>
        <v>4</v>
      </c>
    </row>
    <row r="38" ht="22.5" customHeight="1">
      <c r="A38" s="5">
        <v>370.0</v>
      </c>
      <c r="B38" s="5" t="s">
        <v>77</v>
      </c>
      <c r="C38" s="5" t="s">
        <v>42</v>
      </c>
      <c r="D38" s="5" t="s">
        <v>101</v>
      </c>
      <c r="E38" s="7">
        <v>78.62</v>
      </c>
      <c r="F38" s="8">
        <v>0.312</v>
      </c>
      <c r="G38" s="7">
        <f>VLOOKUP(C38,Provinsi[[#ALL],[Daerah]:[IDI]],4,0)</f>
        <v>6.4</v>
      </c>
      <c r="H38" s="9">
        <f>VLOOKUP(C38,Provinsi[[#ALL],[Daerah]:[IDI]],5,0)</f>
        <v>77.35</v>
      </c>
      <c r="I38" s="9">
        <f>(E38 - MIN(KabKota[IPM])) / (MAX(KabKota[IPM]) - MIN(KabKota[IPM])) * 100</f>
        <v>77.78455285</v>
      </c>
      <c r="J38" s="9">
        <f>(F38 - MIN(KabKota[IKF])) / (MAX(KabKota[IKF]) - MIN(KabKota[IKF])) * 100</f>
        <v>39</v>
      </c>
      <c r="K38" s="9">
        <f>(G38 - MIN(KabKota[TIK])) / (MAX(KabKota[TIK]) - MIN(KabKota[TIK])) * 100</f>
        <v>65.74074074</v>
      </c>
      <c r="L38" s="9">
        <f>(H38 - MIN(KabKota[IDI])) / (MAX(KabKota[IDI]) - MIN(KabKota[IDI])) * 100</f>
        <v>86.66666667</v>
      </c>
      <c r="M38" s="9">
        <f t="shared" si="1"/>
        <v>67.29799006</v>
      </c>
      <c r="N38" s="11">
        <f>_xlfn.RANK.EQ(M38,KabKota[Rata-rata Skor])</f>
        <v>37</v>
      </c>
      <c r="O38" s="6">
        <f>COUNTIFS(KabKota[Regional], B38, KabKota[Rata-rata Skor], "&gt;"&amp;M38) + 1</f>
        <v>4</v>
      </c>
    </row>
    <row r="39" ht="22.5" customHeight="1">
      <c r="A39" s="5">
        <v>348.0</v>
      </c>
      <c r="B39" s="5" t="s">
        <v>77</v>
      </c>
      <c r="C39" s="5" t="s">
        <v>41</v>
      </c>
      <c r="D39" s="5" t="s">
        <v>102</v>
      </c>
      <c r="E39" s="7">
        <v>74.81</v>
      </c>
      <c r="F39" s="8">
        <v>0.38</v>
      </c>
      <c r="G39" s="7">
        <f>VLOOKUP(C39,Provinsi[[#ALL],[Daerah]:[IDI]],4,0)</f>
        <v>6.13</v>
      </c>
      <c r="H39" s="9">
        <f>VLOOKUP(C39,Provinsi[[#ALL],[Daerah]:[IDI]],5,0)</f>
        <v>81.91</v>
      </c>
      <c r="I39" s="9">
        <f>(E39 - MIN(KabKota[IPM])) / (MAX(KabKota[IPM]) - MIN(KabKota[IPM])) * 100</f>
        <v>70.04065041</v>
      </c>
      <c r="J39" s="9">
        <f>(F39 - MIN(KabKota[IKF])) / (MAX(KabKota[IKF]) - MIN(KabKota[IKF])) * 100</f>
        <v>47.5</v>
      </c>
      <c r="K39" s="9">
        <f>(G39 - MIN(KabKota[TIK])) / (MAX(KabKota[TIK]) - MIN(KabKota[TIK])) * 100</f>
        <v>59.49074074</v>
      </c>
      <c r="L39" s="9">
        <f>(H39 - MIN(KabKota[IDI])) / (MAX(KabKota[IDI]) - MIN(KabKota[IDI])) * 100</f>
        <v>91.77591036</v>
      </c>
      <c r="M39" s="9">
        <f t="shared" si="1"/>
        <v>67.20182538</v>
      </c>
      <c r="N39" s="11">
        <f>_xlfn.RANK.EQ(M39,KabKota[Rata-rata Skor])</f>
        <v>38</v>
      </c>
      <c r="O39" s="6">
        <f>COUNTIFS(KabKota[Regional], B39, KabKota[Rata-rata Skor], "&gt;"&amp;M39) + 1</f>
        <v>5</v>
      </c>
    </row>
    <row r="40" ht="22.5" customHeight="1">
      <c r="A40" s="5">
        <v>185.0</v>
      </c>
      <c r="B40" s="5" t="s">
        <v>63</v>
      </c>
      <c r="C40" s="5" t="s">
        <v>19</v>
      </c>
      <c r="D40" s="5" t="s">
        <v>103</v>
      </c>
      <c r="E40" s="7">
        <v>80.85</v>
      </c>
      <c r="F40" s="8">
        <v>0.226</v>
      </c>
      <c r="G40" s="7">
        <f>VLOOKUP(C40,Provinsi[[#ALL],[Daerah]:[IDI]],4,0)</f>
        <v>6.33</v>
      </c>
      <c r="H40" s="9">
        <f>VLOOKUP(C40,Provinsi[[#ALL],[Daerah]:[IDI]],5,0)</f>
        <v>82.8</v>
      </c>
      <c r="I40" s="9">
        <f>(E40 - MIN(KabKota[IPM])) / (MAX(KabKota[IPM]) - MIN(KabKota[IPM])) * 100</f>
        <v>82.31707317</v>
      </c>
      <c r="J40" s="9">
        <f>(F40 - MIN(KabKota[IKF])) / (MAX(KabKota[IKF]) - MIN(KabKota[IKF])) * 100</f>
        <v>28.25</v>
      </c>
      <c r="K40" s="9">
        <f>(G40 - MIN(KabKota[TIK])) / (MAX(KabKota[TIK]) - MIN(KabKota[TIK])) * 100</f>
        <v>64.12037037</v>
      </c>
      <c r="L40" s="9">
        <f>(H40 - MIN(KabKota[IDI])) / (MAX(KabKota[IDI]) - MIN(KabKota[IDI])) * 100</f>
        <v>92.77310924</v>
      </c>
      <c r="M40" s="9">
        <f t="shared" si="1"/>
        <v>66.8651382</v>
      </c>
      <c r="N40" s="11">
        <f>_xlfn.RANK.EQ(M40,KabKota[Rata-rata Skor])</f>
        <v>39</v>
      </c>
      <c r="O40" s="6">
        <f>COUNTIFS(KabKota[Regional], B40, KabKota[Rata-rata Skor], "&gt;"&amp;M40) + 1</f>
        <v>25</v>
      </c>
    </row>
    <row r="41" ht="22.5" customHeight="1">
      <c r="A41" s="5">
        <v>173.0</v>
      </c>
      <c r="B41" s="5" t="s">
        <v>63</v>
      </c>
      <c r="C41" s="5" t="s">
        <v>19</v>
      </c>
      <c r="D41" s="5" t="s">
        <v>104</v>
      </c>
      <c r="E41" s="7">
        <v>73.0</v>
      </c>
      <c r="F41" s="8">
        <v>0.352</v>
      </c>
      <c r="G41" s="7">
        <f>VLOOKUP(C41,Provinsi[[#ALL],[Daerah]:[IDI]],4,0)</f>
        <v>6.33</v>
      </c>
      <c r="H41" s="9">
        <f>VLOOKUP(C41,Provinsi[[#ALL],[Daerah]:[IDI]],5,0)</f>
        <v>82.8</v>
      </c>
      <c r="I41" s="9">
        <f>(E41 - MIN(KabKota[IPM])) / (MAX(KabKota[IPM]) - MIN(KabKota[IPM])) * 100</f>
        <v>66.36178862</v>
      </c>
      <c r="J41" s="9">
        <f>(F41 - MIN(KabKota[IKF])) / (MAX(KabKota[IKF]) - MIN(KabKota[IKF])) * 100</f>
        <v>44</v>
      </c>
      <c r="K41" s="9">
        <f>(G41 - MIN(KabKota[TIK])) / (MAX(KabKota[TIK]) - MIN(KabKota[TIK])) * 100</f>
        <v>64.12037037</v>
      </c>
      <c r="L41" s="9">
        <f>(H41 - MIN(KabKota[IDI])) / (MAX(KabKota[IDI]) - MIN(KabKota[IDI])) * 100</f>
        <v>92.77310924</v>
      </c>
      <c r="M41" s="9">
        <f t="shared" si="1"/>
        <v>66.81381706</v>
      </c>
      <c r="N41" s="11">
        <f>_xlfn.RANK.EQ(M41,KabKota[Rata-rata Skor])</f>
        <v>40</v>
      </c>
      <c r="O41" s="6">
        <f>COUNTIFS(KabKota[Regional], B41, KabKota[Rata-rata Skor], "&gt;"&amp;M41) + 1</f>
        <v>26</v>
      </c>
    </row>
    <row r="42" ht="22.5" customHeight="1">
      <c r="A42" s="5">
        <v>164.0</v>
      </c>
      <c r="B42" s="5" t="s">
        <v>63</v>
      </c>
      <c r="C42" s="5" t="s">
        <v>19</v>
      </c>
      <c r="D42" s="5" t="s">
        <v>105</v>
      </c>
      <c r="E42" s="7">
        <v>75.58</v>
      </c>
      <c r="F42" s="8">
        <v>0.309</v>
      </c>
      <c r="G42" s="7">
        <f>VLOOKUP(C42,Provinsi[[#ALL],[Daerah]:[IDI]],4,0)</f>
        <v>6.33</v>
      </c>
      <c r="H42" s="9">
        <f>VLOOKUP(C42,Provinsi[[#ALL],[Daerah]:[IDI]],5,0)</f>
        <v>82.8</v>
      </c>
      <c r="I42" s="9">
        <f>(E42 - MIN(KabKota[IPM])) / (MAX(KabKota[IPM]) - MIN(KabKota[IPM])) * 100</f>
        <v>71.60569106</v>
      </c>
      <c r="J42" s="9">
        <f>(F42 - MIN(KabKota[IKF])) / (MAX(KabKota[IKF]) - MIN(KabKota[IKF])) * 100</f>
        <v>38.625</v>
      </c>
      <c r="K42" s="9">
        <f>(G42 - MIN(KabKota[TIK])) / (MAX(KabKota[TIK]) - MIN(KabKota[TIK])) * 100</f>
        <v>64.12037037</v>
      </c>
      <c r="L42" s="9">
        <f>(H42 - MIN(KabKota[IDI])) / (MAX(KabKota[IDI]) - MIN(KabKota[IDI])) * 100</f>
        <v>92.77310924</v>
      </c>
      <c r="M42" s="9">
        <f t="shared" si="1"/>
        <v>66.78104267</v>
      </c>
      <c r="N42" s="11">
        <f>_xlfn.RANK.EQ(M42,KabKota[Rata-rata Skor])</f>
        <v>41</v>
      </c>
      <c r="O42" s="6">
        <f>COUNTIFS(KabKota[Regional], B42, KabKota[Rata-rata Skor], "&gt;"&amp;M42) + 1</f>
        <v>27</v>
      </c>
    </row>
    <row r="43" ht="22.5" customHeight="1">
      <c r="A43" s="5">
        <v>73.0</v>
      </c>
      <c r="B43" s="5" t="s">
        <v>70</v>
      </c>
      <c r="C43" s="5" t="s">
        <v>34</v>
      </c>
      <c r="D43" s="5" t="s">
        <v>106</v>
      </c>
      <c r="E43" s="7">
        <v>83.05</v>
      </c>
      <c r="F43" s="8">
        <v>0.234</v>
      </c>
      <c r="G43" s="7">
        <f>VLOOKUP(C43,Provinsi[[#ALL],[Daerah]:[IDI]],4,0)</f>
        <v>6.27</v>
      </c>
      <c r="H43" s="9">
        <f>VLOOKUP(C43,Provinsi[[#ALL],[Daerah]:[IDI]],5,0)</f>
        <v>78.83</v>
      </c>
      <c r="I43" s="9">
        <f>(E43 - MIN(KabKota[IPM])) / (MAX(KabKota[IPM]) - MIN(KabKota[IPM])) * 100</f>
        <v>86.78861789</v>
      </c>
      <c r="J43" s="9">
        <f>(F43 - MIN(KabKota[IKF])) / (MAX(KabKota[IKF]) - MIN(KabKota[IKF])) * 100</f>
        <v>29.25</v>
      </c>
      <c r="K43" s="9">
        <f>(G43 - MIN(KabKota[TIK])) / (MAX(KabKota[TIK]) - MIN(KabKota[TIK])) * 100</f>
        <v>62.73148148</v>
      </c>
      <c r="L43" s="9">
        <f>(H43 - MIN(KabKota[IDI])) / (MAX(KabKota[IDI]) - MIN(KabKota[IDI])) * 100</f>
        <v>88.32492997</v>
      </c>
      <c r="M43" s="9">
        <f t="shared" si="1"/>
        <v>66.77375733</v>
      </c>
      <c r="N43" s="11">
        <f>_xlfn.RANK.EQ(M43,KabKota[Rata-rata Skor])</f>
        <v>42</v>
      </c>
      <c r="O43" s="6">
        <f>COUNTIFS(KabKota[Regional], B43, KabKota[Rata-rata Skor], "&gt;"&amp;M43) + 1</f>
        <v>3</v>
      </c>
    </row>
    <row r="44" ht="22.5" customHeight="1">
      <c r="A44" s="5">
        <v>112.0</v>
      </c>
      <c r="B44" s="5" t="s">
        <v>70</v>
      </c>
      <c r="C44" s="5" t="s">
        <v>29</v>
      </c>
      <c r="D44" s="5" t="s">
        <v>107</v>
      </c>
      <c r="E44" s="7">
        <v>83.27</v>
      </c>
      <c r="F44" s="8">
        <v>0.249</v>
      </c>
      <c r="G44" s="7">
        <f>VLOOKUP(C44,Provinsi[[#ALL],[Daerah]:[IDI]],4,0)</f>
        <v>5.97</v>
      </c>
      <c r="H44" s="9">
        <f>VLOOKUP(C44,Provinsi[[#ALL],[Daerah]:[IDI]],5,0)</f>
        <v>82.71</v>
      </c>
      <c r="I44" s="9">
        <f>(E44 - MIN(KabKota[IPM])) / (MAX(KabKota[IPM]) - MIN(KabKota[IPM])) * 100</f>
        <v>87.23577236</v>
      </c>
      <c r="J44" s="9">
        <f>(F44 - MIN(KabKota[IKF])) / (MAX(KabKota[IKF]) - MIN(KabKota[IKF])) * 100</f>
        <v>31.125</v>
      </c>
      <c r="K44" s="9">
        <f>(G44 - MIN(KabKota[TIK])) / (MAX(KabKota[TIK]) - MIN(KabKota[TIK])) * 100</f>
        <v>55.78703704</v>
      </c>
      <c r="L44" s="9">
        <f>(H44 - MIN(KabKota[IDI])) / (MAX(KabKota[IDI]) - MIN(KabKota[IDI])) * 100</f>
        <v>92.67226891</v>
      </c>
      <c r="M44" s="9">
        <f t="shared" si="1"/>
        <v>66.70501958</v>
      </c>
      <c r="N44" s="11">
        <f>_xlfn.RANK.EQ(M44,KabKota[Rata-rata Skor])</f>
        <v>43</v>
      </c>
      <c r="O44" s="6">
        <f>COUNTIFS(KabKota[Regional], B44, KabKota[Rata-rata Skor], "&gt;"&amp;M44) + 1</f>
        <v>4</v>
      </c>
    </row>
    <row r="45" ht="22.5" customHeight="1">
      <c r="A45" s="5">
        <v>50.0</v>
      </c>
      <c r="B45" s="5" t="s">
        <v>70</v>
      </c>
      <c r="C45" s="5" t="s">
        <v>21</v>
      </c>
      <c r="D45" s="5" t="s">
        <v>108</v>
      </c>
      <c r="E45" s="7">
        <v>81.71</v>
      </c>
      <c r="F45" s="8">
        <v>0.251</v>
      </c>
      <c r="G45" s="7">
        <f>VLOOKUP(C45,Provinsi[[#ALL],[Daerah]:[IDI]],4,0)</f>
        <v>6.2</v>
      </c>
      <c r="H45" s="9">
        <f>VLOOKUP(C45,Provinsi[[#ALL],[Daerah]:[IDI]],5,0)</f>
        <v>80.19</v>
      </c>
      <c r="I45" s="9">
        <f>(E45 - MIN(KabKota[IPM])) / (MAX(KabKota[IPM]) - MIN(KabKota[IPM])) * 100</f>
        <v>84.06504065</v>
      </c>
      <c r="J45" s="9">
        <f>(F45 - MIN(KabKota[IKF])) / (MAX(KabKota[IKF]) - MIN(KabKota[IKF])) * 100</f>
        <v>31.375</v>
      </c>
      <c r="K45" s="9">
        <f>(G45 - MIN(KabKota[TIK])) / (MAX(KabKota[TIK]) - MIN(KabKota[TIK])) * 100</f>
        <v>61.11111111</v>
      </c>
      <c r="L45" s="9">
        <f>(H45 - MIN(KabKota[IDI])) / (MAX(KabKota[IDI]) - MIN(KabKota[IDI])) * 100</f>
        <v>89.8487395</v>
      </c>
      <c r="M45" s="9">
        <f t="shared" si="1"/>
        <v>66.59997281</v>
      </c>
      <c r="N45" s="11">
        <f>_xlfn.RANK.EQ(M45,KabKota[Rata-rata Skor])</f>
        <v>44</v>
      </c>
      <c r="O45" s="6">
        <f>COUNTIFS(KabKota[Regional], B45, KabKota[Rata-rata Skor], "&gt;"&amp;M45) + 1</f>
        <v>5</v>
      </c>
    </row>
    <row r="46" ht="22.5" customHeight="1">
      <c r="A46" s="5">
        <v>351.0</v>
      </c>
      <c r="B46" s="5" t="s">
        <v>77</v>
      </c>
      <c r="C46" s="5" t="s">
        <v>41</v>
      </c>
      <c r="D46" s="5" t="s">
        <v>109</v>
      </c>
      <c r="E46" s="7">
        <v>76.94</v>
      </c>
      <c r="F46" s="8">
        <v>0.318</v>
      </c>
      <c r="G46" s="7">
        <f>VLOOKUP(C46,Provinsi[[#ALL],[Daerah]:[IDI]],4,0)</f>
        <v>6.13</v>
      </c>
      <c r="H46" s="9">
        <f>VLOOKUP(C46,Provinsi[[#ALL],[Daerah]:[IDI]],5,0)</f>
        <v>81.91</v>
      </c>
      <c r="I46" s="9">
        <f>(E46 - MIN(KabKota[IPM])) / (MAX(KabKota[IPM]) - MIN(KabKota[IPM])) * 100</f>
        <v>74.3699187</v>
      </c>
      <c r="J46" s="9">
        <f>(F46 - MIN(KabKota[IKF])) / (MAX(KabKota[IKF]) - MIN(KabKota[IKF])) * 100</f>
        <v>39.75</v>
      </c>
      <c r="K46" s="9">
        <f>(G46 - MIN(KabKota[TIK])) / (MAX(KabKota[TIK]) - MIN(KabKota[TIK])) * 100</f>
        <v>59.49074074</v>
      </c>
      <c r="L46" s="9">
        <f>(H46 - MIN(KabKota[IDI])) / (MAX(KabKota[IDI]) - MIN(KabKota[IDI])) * 100</f>
        <v>91.77591036</v>
      </c>
      <c r="M46" s="9">
        <f t="shared" si="1"/>
        <v>66.34664245</v>
      </c>
      <c r="N46" s="11">
        <f>_xlfn.RANK.EQ(M46,KabKota[Rata-rata Skor])</f>
        <v>45</v>
      </c>
      <c r="O46" s="6">
        <f>COUNTIFS(KabKota[Regional], B46, KabKota[Rata-rata Skor], "&gt;"&amp;M46) + 1</f>
        <v>6</v>
      </c>
    </row>
    <row r="47" ht="22.5" customHeight="1">
      <c r="A47" s="5">
        <v>218.0</v>
      </c>
      <c r="B47" s="5" t="s">
        <v>63</v>
      </c>
      <c r="C47" s="5" t="s">
        <v>30</v>
      </c>
      <c r="D47" s="5" t="s">
        <v>110</v>
      </c>
      <c r="E47" s="7">
        <v>84.92</v>
      </c>
      <c r="F47" s="8">
        <v>0.179</v>
      </c>
      <c r="G47" s="7">
        <f>VLOOKUP(C47,Provinsi[[#ALL],[Daerah]:[IDI]],4,0)</f>
        <v>5.98</v>
      </c>
      <c r="H47" s="9">
        <f>VLOOKUP(C47,Provinsi[[#ALL],[Daerah]:[IDI]],5,0)</f>
        <v>85.84</v>
      </c>
      <c r="I47" s="9">
        <f>(E47 - MIN(KabKota[IPM])) / (MAX(KabKota[IPM]) - MIN(KabKota[IPM])) * 100</f>
        <v>90.58943089</v>
      </c>
      <c r="J47" s="9">
        <f>(F47 - MIN(KabKota[IKF])) / (MAX(KabKota[IKF]) - MIN(KabKota[IKF])) * 100</f>
        <v>22.375</v>
      </c>
      <c r="K47" s="9">
        <f>(G47 - MIN(KabKota[TIK])) / (MAX(KabKota[TIK]) - MIN(KabKota[TIK])) * 100</f>
        <v>56.01851852</v>
      </c>
      <c r="L47" s="9">
        <f>(H47 - MIN(KabKota[IDI])) / (MAX(KabKota[IDI]) - MIN(KabKota[IDI])) * 100</f>
        <v>96.17927171</v>
      </c>
      <c r="M47" s="9">
        <f t="shared" si="1"/>
        <v>66.29055528</v>
      </c>
      <c r="N47" s="11">
        <f>_xlfn.RANK.EQ(M47,KabKota[Rata-rata Skor])</f>
        <v>46</v>
      </c>
      <c r="O47" s="6">
        <f>COUNTIFS(KabKota[Regional], B47, KabKota[Rata-rata Skor], "&gt;"&amp;M47) + 1</f>
        <v>28</v>
      </c>
    </row>
    <row r="48" ht="22.5" customHeight="1">
      <c r="A48" s="5">
        <v>252.0</v>
      </c>
      <c r="B48" s="5" t="s">
        <v>63</v>
      </c>
      <c r="C48" s="5" t="s">
        <v>23</v>
      </c>
      <c r="D48" s="5" t="s">
        <v>111</v>
      </c>
      <c r="E48" s="7">
        <v>79.69</v>
      </c>
      <c r="F48" s="8">
        <v>0.258</v>
      </c>
      <c r="G48" s="7">
        <f>VLOOKUP(C48,Provinsi[[#ALL],[Daerah]:[IDI]],4,0)</f>
        <v>6.07</v>
      </c>
      <c r="H48" s="9">
        <f>VLOOKUP(C48,Provinsi[[#ALL],[Daerah]:[IDI]],5,0)</f>
        <v>84.17</v>
      </c>
      <c r="I48" s="9">
        <f>(E48 - MIN(KabKota[IPM])) / (MAX(KabKota[IPM]) - MIN(KabKota[IPM])) * 100</f>
        <v>79.95934959</v>
      </c>
      <c r="J48" s="9">
        <f>(F48 - MIN(KabKota[IKF])) / (MAX(KabKota[IKF]) - MIN(KabKota[IKF])) * 100</f>
        <v>32.25</v>
      </c>
      <c r="K48" s="9">
        <f>(G48 - MIN(KabKota[TIK])) / (MAX(KabKota[TIK]) - MIN(KabKota[TIK])) * 100</f>
        <v>58.10185185</v>
      </c>
      <c r="L48" s="9">
        <f>(H48 - MIN(KabKota[IDI])) / (MAX(KabKota[IDI]) - MIN(KabKota[IDI])) * 100</f>
        <v>94.30812325</v>
      </c>
      <c r="M48" s="9">
        <f t="shared" si="1"/>
        <v>66.15483117</v>
      </c>
      <c r="N48" s="11">
        <f>_xlfn.RANK.EQ(M48,KabKota[Rata-rata Skor])</f>
        <v>47</v>
      </c>
      <c r="O48" s="6">
        <f>COUNTIFS(KabKota[Regional], B48, KabKota[Rata-rata Skor], "&gt;"&amp;M48) + 1</f>
        <v>29</v>
      </c>
    </row>
    <row r="49" ht="22.5" customHeight="1">
      <c r="A49" s="5">
        <v>364.0</v>
      </c>
      <c r="B49" s="5" t="s">
        <v>77</v>
      </c>
      <c r="C49" s="5" t="s">
        <v>28</v>
      </c>
      <c r="D49" s="5" t="s">
        <v>112</v>
      </c>
      <c r="E49" s="7">
        <v>83.53</v>
      </c>
      <c r="F49" s="8">
        <v>0.103</v>
      </c>
      <c r="G49" s="7">
        <f>VLOOKUP(C49,Provinsi[[#ALL],[Daerah]:[IDI]],4,0)</f>
        <v>6.73</v>
      </c>
      <c r="H49" s="9">
        <f>VLOOKUP(C49,Provinsi[[#ALL],[Daerah]:[IDI]],5,0)</f>
        <v>80.69</v>
      </c>
      <c r="I49" s="9">
        <f>(E49 - MIN(KabKota[IPM])) / (MAX(KabKota[IPM]) - MIN(KabKota[IPM])) * 100</f>
        <v>87.76422764</v>
      </c>
      <c r="J49" s="9">
        <f>(F49 - MIN(KabKota[IKF])) / (MAX(KabKota[IKF]) - MIN(KabKota[IKF])) * 100</f>
        <v>12.875</v>
      </c>
      <c r="K49" s="9">
        <f>(G49 - MIN(KabKota[TIK])) / (MAX(KabKota[TIK]) - MIN(KabKota[TIK])) * 100</f>
        <v>73.37962963</v>
      </c>
      <c r="L49" s="9">
        <f>(H49 - MIN(KabKota[IDI])) / (MAX(KabKota[IDI]) - MIN(KabKota[IDI])) * 100</f>
        <v>90.40896359</v>
      </c>
      <c r="M49" s="9">
        <f t="shared" si="1"/>
        <v>66.10695521</v>
      </c>
      <c r="N49" s="11">
        <f>_xlfn.RANK.EQ(M49,KabKota[Rata-rata Skor])</f>
        <v>48</v>
      </c>
      <c r="O49" s="6">
        <f>COUNTIFS(KabKota[Regional], B49, KabKota[Rata-rata Skor], "&gt;"&amp;M49) + 1</f>
        <v>7</v>
      </c>
    </row>
    <row r="50" ht="22.5" customHeight="1">
      <c r="A50" s="5">
        <v>176.0</v>
      </c>
      <c r="B50" s="5" t="s">
        <v>63</v>
      </c>
      <c r="C50" s="5" t="s">
        <v>19</v>
      </c>
      <c r="D50" s="5" t="s">
        <v>113</v>
      </c>
      <c r="E50" s="7">
        <v>77.8</v>
      </c>
      <c r="F50" s="8">
        <v>0.251</v>
      </c>
      <c r="G50" s="7">
        <f>VLOOKUP(C50,Provinsi[[#ALL],[Daerah]:[IDI]],4,0)</f>
        <v>6.33</v>
      </c>
      <c r="H50" s="9">
        <f>VLOOKUP(C50,Provinsi[[#ALL],[Daerah]:[IDI]],5,0)</f>
        <v>82.8</v>
      </c>
      <c r="I50" s="9">
        <f>(E50 - MIN(KabKota[IPM])) / (MAX(KabKota[IPM]) - MIN(KabKota[IPM])) * 100</f>
        <v>76.11788618</v>
      </c>
      <c r="J50" s="9">
        <f>(F50 - MIN(KabKota[IKF])) / (MAX(KabKota[IKF]) - MIN(KabKota[IKF])) * 100</f>
        <v>31.375</v>
      </c>
      <c r="K50" s="9">
        <f>(G50 - MIN(KabKota[TIK])) / (MAX(KabKota[TIK]) - MIN(KabKota[TIK])) * 100</f>
        <v>64.12037037</v>
      </c>
      <c r="L50" s="9">
        <f>(H50 - MIN(KabKota[IDI])) / (MAX(KabKota[IDI]) - MIN(KabKota[IDI])) * 100</f>
        <v>92.77310924</v>
      </c>
      <c r="M50" s="9">
        <f t="shared" si="1"/>
        <v>66.09659145</v>
      </c>
      <c r="N50" s="11">
        <f>_xlfn.RANK.EQ(M50,KabKota[Rata-rata Skor])</f>
        <v>49</v>
      </c>
      <c r="O50" s="6">
        <f>COUNTIFS(KabKota[Regional], B50, KabKota[Rata-rata Skor], "&gt;"&amp;M50) + 1</f>
        <v>30</v>
      </c>
    </row>
    <row r="51" ht="22.5" customHeight="1">
      <c r="A51" s="5">
        <v>352.0</v>
      </c>
      <c r="B51" s="5" t="s">
        <v>77</v>
      </c>
      <c r="C51" s="5" t="s">
        <v>41</v>
      </c>
      <c r="D51" s="5" t="s">
        <v>114</v>
      </c>
      <c r="E51" s="7">
        <v>75.09</v>
      </c>
      <c r="F51" s="8">
        <v>0.339</v>
      </c>
      <c r="G51" s="7">
        <f>VLOOKUP(C51,Provinsi[[#ALL],[Daerah]:[IDI]],4,0)</f>
        <v>6.13</v>
      </c>
      <c r="H51" s="9">
        <f>VLOOKUP(C51,Provinsi[[#ALL],[Daerah]:[IDI]],5,0)</f>
        <v>81.91</v>
      </c>
      <c r="I51" s="9">
        <f>(E51 - MIN(KabKota[IPM])) / (MAX(KabKota[IPM]) - MIN(KabKota[IPM])) * 100</f>
        <v>70.6097561</v>
      </c>
      <c r="J51" s="9">
        <f>(F51 - MIN(KabKota[IKF])) / (MAX(KabKota[IKF]) - MIN(KabKota[IKF])) * 100</f>
        <v>42.375</v>
      </c>
      <c r="K51" s="9">
        <f>(G51 - MIN(KabKota[TIK])) / (MAX(KabKota[TIK]) - MIN(KabKota[TIK])) * 100</f>
        <v>59.49074074</v>
      </c>
      <c r="L51" s="9">
        <f>(H51 - MIN(KabKota[IDI])) / (MAX(KabKota[IDI]) - MIN(KabKota[IDI])) * 100</f>
        <v>91.77591036</v>
      </c>
      <c r="M51" s="9">
        <f t="shared" si="1"/>
        <v>66.0628518</v>
      </c>
      <c r="N51" s="11">
        <f>_xlfn.RANK.EQ(M51,KabKota[Rata-rata Skor])</f>
        <v>50</v>
      </c>
      <c r="O51" s="6">
        <f>COUNTIFS(KabKota[Regional], B51, KabKota[Rata-rata Skor], "&gt;"&amp;M51) + 1</f>
        <v>8</v>
      </c>
    </row>
    <row r="52" ht="22.5" customHeight="1">
      <c r="A52" s="5">
        <v>154.0</v>
      </c>
      <c r="B52" s="5" t="s">
        <v>70</v>
      </c>
      <c r="C52" s="5" t="s">
        <v>24</v>
      </c>
      <c r="D52" s="5" t="s">
        <v>115</v>
      </c>
      <c r="E52" s="7">
        <v>82.02</v>
      </c>
      <c r="F52" s="8">
        <v>0.109</v>
      </c>
      <c r="G52" s="7">
        <f>VLOOKUP(C52,Provinsi[[#ALL],[Daerah]:[IDI]],4,0)</f>
        <v>6.8</v>
      </c>
      <c r="H52" s="9">
        <f>VLOOKUP(C52,Provinsi[[#ALL],[Daerah]:[IDI]],5,0)</f>
        <v>80.83</v>
      </c>
      <c r="I52" s="9">
        <f>(E52 - MIN(KabKota[IPM])) / (MAX(KabKota[IPM]) - MIN(KabKota[IPM])) * 100</f>
        <v>84.69512195</v>
      </c>
      <c r="J52" s="9">
        <f>(F52 - MIN(KabKota[IKF])) / (MAX(KabKota[IKF]) - MIN(KabKota[IKF])) * 100</f>
        <v>13.625</v>
      </c>
      <c r="K52" s="9">
        <f>(G52 - MIN(KabKota[TIK])) / (MAX(KabKota[TIK]) - MIN(KabKota[TIK])) * 100</f>
        <v>75</v>
      </c>
      <c r="L52" s="9">
        <f>(H52 - MIN(KabKota[IDI])) / (MAX(KabKota[IDI]) - MIN(KabKota[IDI])) * 100</f>
        <v>90.56582633</v>
      </c>
      <c r="M52" s="9">
        <f t="shared" si="1"/>
        <v>65.97148707</v>
      </c>
      <c r="N52" s="11">
        <f>_xlfn.RANK.EQ(M52,KabKota[Rata-rata Skor])</f>
        <v>51</v>
      </c>
      <c r="O52" s="6">
        <f>COUNTIFS(KabKota[Regional], B52, KabKota[Rata-rata Skor], "&gt;"&amp;M52) + 1</f>
        <v>6</v>
      </c>
    </row>
    <row r="53" ht="22.5" customHeight="1">
      <c r="A53" s="5">
        <v>271.0</v>
      </c>
      <c r="B53" s="5" t="s">
        <v>63</v>
      </c>
      <c r="C53" s="5" t="s">
        <v>22</v>
      </c>
      <c r="D53" s="5" t="s">
        <v>116</v>
      </c>
      <c r="E53" s="7">
        <v>79.54</v>
      </c>
      <c r="F53" s="8">
        <v>0.238</v>
      </c>
      <c r="G53" s="7">
        <f>VLOOKUP(C53,Provinsi[[#ALL],[Daerah]:[IDI]],4,0)</f>
        <v>6.46</v>
      </c>
      <c r="H53" s="9">
        <f>VLOOKUP(C53,Provinsi[[#ALL],[Daerah]:[IDI]],5,0)</f>
        <v>76.87</v>
      </c>
      <c r="I53" s="9">
        <f>(E53 - MIN(KabKota[IPM])) / (MAX(KabKota[IPM]) - MIN(KabKota[IPM])) * 100</f>
        <v>79.65447154</v>
      </c>
      <c r="J53" s="9">
        <f>(F53 - MIN(KabKota[IKF])) / (MAX(KabKota[IKF]) - MIN(KabKota[IKF])) * 100</f>
        <v>29.75</v>
      </c>
      <c r="K53" s="9">
        <f>(G53 - MIN(KabKota[TIK])) / (MAX(KabKota[TIK]) - MIN(KabKota[TIK])) * 100</f>
        <v>67.12962963</v>
      </c>
      <c r="L53" s="9">
        <f>(H53 - MIN(KabKota[IDI])) / (MAX(KabKota[IDI]) - MIN(KabKota[IDI])) * 100</f>
        <v>86.12885154</v>
      </c>
      <c r="M53" s="9">
        <f t="shared" si="1"/>
        <v>65.66573818</v>
      </c>
      <c r="N53" s="11">
        <f>_xlfn.RANK.EQ(M53,KabKota[Rata-rata Skor])</f>
        <v>52</v>
      </c>
      <c r="O53" s="6">
        <f>COUNTIFS(KabKota[Regional], B53, KabKota[Rata-rata Skor], "&gt;"&amp;M53) + 1</f>
        <v>31</v>
      </c>
    </row>
    <row r="54" ht="22.5" customHeight="1">
      <c r="A54" s="5">
        <v>86.0</v>
      </c>
      <c r="B54" s="5" t="s">
        <v>70</v>
      </c>
      <c r="C54" s="5" t="s">
        <v>33</v>
      </c>
      <c r="D54" s="5" t="s">
        <v>117</v>
      </c>
      <c r="E54" s="7">
        <v>84.91</v>
      </c>
      <c r="F54" s="8">
        <v>0.184</v>
      </c>
      <c r="G54" s="7">
        <f>VLOOKUP(C54,Provinsi[[#ALL],[Daerah]:[IDI]],4,0)</f>
        <v>6.27</v>
      </c>
      <c r="H54" s="9">
        <f>VLOOKUP(C54,Provinsi[[#ALL],[Daerah]:[IDI]],5,0)</f>
        <v>77.06</v>
      </c>
      <c r="I54" s="9">
        <f>(E54 - MIN(KabKota[IPM])) / (MAX(KabKota[IPM]) - MIN(KabKota[IPM])) * 100</f>
        <v>90.56910569</v>
      </c>
      <c r="J54" s="9">
        <f>(F54 - MIN(KabKota[IKF])) / (MAX(KabKota[IKF]) - MIN(KabKota[IKF])) * 100</f>
        <v>23</v>
      </c>
      <c r="K54" s="9">
        <f>(G54 - MIN(KabKota[TIK])) / (MAX(KabKota[TIK]) - MIN(KabKota[TIK])) * 100</f>
        <v>62.73148148</v>
      </c>
      <c r="L54" s="9">
        <f>(H54 - MIN(KabKota[IDI])) / (MAX(KabKota[IDI]) - MIN(KabKota[IDI])) * 100</f>
        <v>86.34173669</v>
      </c>
      <c r="M54" s="9">
        <f t="shared" si="1"/>
        <v>65.66058097</v>
      </c>
      <c r="N54" s="11">
        <f>_xlfn.RANK.EQ(M54,KabKota[Rata-rata Skor])</f>
        <v>53</v>
      </c>
      <c r="O54" s="6">
        <f>COUNTIFS(KabKota[Regional], B54, KabKota[Rata-rata Skor], "&gt;"&amp;M54) + 1</f>
        <v>7</v>
      </c>
    </row>
    <row r="55" ht="22.5" customHeight="1">
      <c r="A55" s="5">
        <v>358.0</v>
      </c>
      <c r="B55" s="5" t="s">
        <v>77</v>
      </c>
      <c r="C55" s="5" t="s">
        <v>28</v>
      </c>
      <c r="D55" s="5" t="s">
        <v>118</v>
      </c>
      <c r="E55" s="7">
        <v>77.72</v>
      </c>
      <c r="F55" s="8">
        <v>0.183</v>
      </c>
      <c r="G55" s="7">
        <f>VLOOKUP(C55,Provinsi[[#ALL],[Daerah]:[IDI]],4,0)</f>
        <v>6.73</v>
      </c>
      <c r="H55" s="9">
        <f>VLOOKUP(C55,Provinsi[[#ALL],[Daerah]:[IDI]],5,0)</f>
        <v>80.69</v>
      </c>
      <c r="I55" s="9">
        <f>(E55 - MIN(KabKota[IPM])) / (MAX(KabKota[IPM]) - MIN(KabKota[IPM])) * 100</f>
        <v>75.95528455</v>
      </c>
      <c r="J55" s="9">
        <f>(F55 - MIN(KabKota[IKF])) / (MAX(KabKota[IKF]) - MIN(KabKota[IKF])) * 100</f>
        <v>22.875</v>
      </c>
      <c r="K55" s="9">
        <f>(G55 - MIN(KabKota[TIK])) / (MAX(KabKota[TIK]) - MIN(KabKota[TIK])) * 100</f>
        <v>73.37962963</v>
      </c>
      <c r="L55" s="9">
        <f>(H55 - MIN(KabKota[IDI])) / (MAX(KabKota[IDI]) - MIN(KabKota[IDI])) * 100</f>
        <v>90.40896359</v>
      </c>
      <c r="M55" s="9">
        <f t="shared" si="1"/>
        <v>65.65471944</v>
      </c>
      <c r="N55" s="11">
        <f>_xlfn.RANK.EQ(M55,KabKota[Rata-rata Skor])</f>
        <v>54</v>
      </c>
      <c r="O55" s="6">
        <f>COUNTIFS(KabKota[Regional], B55, KabKota[Rata-rata Skor], "&gt;"&amp;M55) + 1</f>
        <v>9</v>
      </c>
    </row>
    <row r="56" ht="22.5" customHeight="1">
      <c r="A56" s="5">
        <v>97.0</v>
      </c>
      <c r="B56" s="5" t="s">
        <v>70</v>
      </c>
      <c r="C56" s="5" t="s">
        <v>38</v>
      </c>
      <c r="D56" s="5" t="s">
        <v>119</v>
      </c>
      <c r="E56" s="7">
        <v>82.32</v>
      </c>
      <c r="F56" s="8">
        <v>0.219</v>
      </c>
      <c r="G56" s="7">
        <f>VLOOKUP(C56,Provinsi[[#ALL],[Daerah]:[IDI]],4,0)</f>
        <v>6.03</v>
      </c>
      <c r="H56" s="9">
        <f>VLOOKUP(C56,Provinsi[[#ALL],[Daerah]:[IDI]],5,0)</f>
        <v>82.27</v>
      </c>
      <c r="I56" s="9">
        <f>(E56 - MIN(KabKota[IPM])) / (MAX(KabKota[IPM]) - MIN(KabKota[IPM])) * 100</f>
        <v>85.30487805</v>
      </c>
      <c r="J56" s="9">
        <f>(F56 - MIN(KabKota[IKF])) / (MAX(KabKota[IKF]) - MIN(KabKota[IKF])) * 100</f>
        <v>27.375</v>
      </c>
      <c r="K56" s="9">
        <f>(G56 - MIN(KabKota[TIK])) / (MAX(KabKota[TIK]) - MIN(KabKota[TIK])) * 100</f>
        <v>57.17592593</v>
      </c>
      <c r="L56" s="9">
        <f>(H56 - MIN(KabKota[IDI])) / (MAX(KabKota[IDI]) - MIN(KabKota[IDI])) * 100</f>
        <v>92.17927171</v>
      </c>
      <c r="M56" s="9">
        <f t="shared" si="1"/>
        <v>65.50876892</v>
      </c>
      <c r="N56" s="11">
        <f>_xlfn.RANK.EQ(M56,KabKota[Rata-rata Skor])</f>
        <v>55</v>
      </c>
      <c r="O56" s="6">
        <f>COUNTIFS(KabKota[Regional], B56, KabKota[Rata-rata Skor], "&gt;"&amp;M56) + 1</f>
        <v>8</v>
      </c>
    </row>
    <row r="57" ht="22.5" customHeight="1">
      <c r="A57" s="5">
        <v>281.0</v>
      </c>
      <c r="B57" s="5" t="s">
        <v>60</v>
      </c>
      <c r="C57" s="5" t="s">
        <v>18</v>
      </c>
      <c r="D57" s="5" t="s">
        <v>120</v>
      </c>
      <c r="E57" s="7">
        <v>76.06</v>
      </c>
      <c r="F57" s="8">
        <v>0.106</v>
      </c>
      <c r="G57" s="7">
        <f>VLOOKUP(C57,Provinsi[[#ALL],[Daerah]:[IDI]],4,0)</f>
        <v>6.82</v>
      </c>
      <c r="H57" s="9">
        <f>VLOOKUP(C57,Provinsi[[#ALL],[Daerah]:[IDI]],5,0)</f>
        <v>88.34</v>
      </c>
      <c r="I57" s="9">
        <f>(E57 - MIN(KabKota[IPM])) / (MAX(KabKota[IPM]) - MIN(KabKota[IPM])) * 100</f>
        <v>72.58130081</v>
      </c>
      <c r="J57" s="9">
        <f>(F57 - MIN(KabKota[IKF])) / (MAX(KabKota[IKF]) - MIN(KabKota[IKF])) * 100</f>
        <v>13.25</v>
      </c>
      <c r="K57" s="9">
        <f>(G57 - MIN(KabKota[TIK])) / (MAX(KabKota[TIK]) - MIN(KabKota[TIK])) * 100</f>
        <v>75.46296296</v>
      </c>
      <c r="L57" s="9">
        <f>(H57 - MIN(KabKota[IDI])) / (MAX(KabKota[IDI]) - MIN(KabKota[IDI])) * 100</f>
        <v>98.98039216</v>
      </c>
      <c r="M57" s="9">
        <f t="shared" si="1"/>
        <v>65.06866398</v>
      </c>
      <c r="N57" s="11">
        <f>_xlfn.RANK.EQ(M57,KabKota[Rata-rata Skor])</f>
        <v>56</v>
      </c>
      <c r="O57" s="6">
        <f>COUNTIFS(KabKota[Regional], B57, KabKota[Rata-rata Skor], "&gt;"&amp;M57) + 1</f>
        <v>5</v>
      </c>
    </row>
    <row r="58" ht="22.5" customHeight="1">
      <c r="A58" s="5">
        <v>383.0</v>
      </c>
      <c r="B58" s="5" t="s">
        <v>75</v>
      </c>
      <c r="C58" s="5" t="s">
        <v>37</v>
      </c>
      <c r="D58" s="5" t="s">
        <v>121</v>
      </c>
      <c r="E58" s="7">
        <v>77.57</v>
      </c>
      <c r="F58" s="8">
        <v>0.277</v>
      </c>
      <c r="G58" s="7">
        <f>VLOOKUP(C58,Provinsi[[#ALL],[Daerah]:[IDI]],4,0)</f>
        <v>6.03</v>
      </c>
      <c r="H58" s="9">
        <f>VLOOKUP(C58,Provinsi[[#ALL],[Daerah]:[IDI]],5,0)</f>
        <v>81.87</v>
      </c>
      <c r="I58" s="9">
        <f>(E58 - MIN(KabKota[IPM])) / (MAX(KabKota[IPM]) - MIN(KabKota[IPM])) * 100</f>
        <v>75.6504065</v>
      </c>
      <c r="J58" s="9">
        <f>(F58 - MIN(KabKota[IKF])) / (MAX(KabKota[IKF]) - MIN(KabKota[IKF])) * 100</f>
        <v>34.625</v>
      </c>
      <c r="K58" s="9">
        <f>(G58 - MIN(KabKota[TIK])) / (MAX(KabKota[TIK]) - MIN(KabKota[TIK])) * 100</f>
        <v>57.17592593</v>
      </c>
      <c r="L58" s="9">
        <f>(H58 - MIN(KabKota[IDI])) / (MAX(KabKota[IDI]) - MIN(KabKota[IDI])) * 100</f>
        <v>91.73109244</v>
      </c>
      <c r="M58" s="9">
        <f t="shared" si="1"/>
        <v>64.79560622</v>
      </c>
      <c r="N58" s="11">
        <f>_xlfn.RANK.EQ(M58,KabKota[Rata-rata Skor])</f>
        <v>57</v>
      </c>
      <c r="O58" s="6">
        <f>COUNTIFS(KabKota[Regional], B58, KabKota[Rata-rata Skor], "&gt;"&amp;M58) + 1</f>
        <v>4</v>
      </c>
    </row>
    <row r="59" ht="22.5" customHeight="1">
      <c r="A59" s="5">
        <v>342.0</v>
      </c>
      <c r="B59" s="5" t="s">
        <v>77</v>
      </c>
      <c r="C59" s="5" t="s">
        <v>40</v>
      </c>
      <c r="D59" s="5" t="s">
        <v>122</v>
      </c>
      <c r="E59" s="7">
        <v>82.98</v>
      </c>
      <c r="F59" s="8">
        <v>0.218</v>
      </c>
      <c r="G59" s="7">
        <f>VLOOKUP(C59,Provinsi[[#ALL],[Daerah]:[IDI]],4,0)</f>
        <v>6.02</v>
      </c>
      <c r="H59" s="9">
        <f>VLOOKUP(C59,Provinsi[[#ALL],[Daerah]:[IDI]],5,0)</f>
        <v>78.47</v>
      </c>
      <c r="I59" s="9">
        <f>(E59 - MIN(KabKota[IPM])) / (MAX(KabKota[IPM]) - MIN(KabKota[IPM])) * 100</f>
        <v>86.64634146</v>
      </c>
      <c r="J59" s="9">
        <f>(F59 - MIN(KabKota[IKF])) / (MAX(KabKota[IKF]) - MIN(KabKota[IKF])) * 100</f>
        <v>27.25</v>
      </c>
      <c r="K59" s="9">
        <f>(G59 - MIN(KabKota[TIK])) / (MAX(KabKota[TIK]) - MIN(KabKota[TIK])) * 100</f>
        <v>56.94444444</v>
      </c>
      <c r="L59" s="9">
        <f>(H59 - MIN(KabKota[IDI])) / (MAX(KabKota[IDI]) - MIN(KabKota[IDI])) * 100</f>
        <v>87.92156863</v>
      </c>
      <c r="M59" s="9">
        <f t="shared" si="1"/>
        <v>64.69058863</v>
      </c>
      <c r="N59" s="11">
        <f>_xlfn.RANK.EQ(M59,KabKota[Rata-rata Skor])</f>
        <v>58</v>
      </c>
      <c r="O59" s="6">
        <f>COUNTIFS(KabKota[Regional], B59, KabKota[Rata-rata Skor], "&gt;"&amp;M59) + 1</f>
        <v>10</v>
      </c>
    </row>
    <row r="60" ht="22.5" customHeight="1">
      <c r="A60" s="5">
        <v>225.0</v>
      </c>
      <c r="B60" s="5" t="s">
        <v>63</v>
      </c>
      <c r="C60" s="5" t="s">
        <v>16</v>
      </c>
      <c r="D60" s="5" t="s">
        <v>123</v>
      </c>
      <c r="E60" s="7">
        <v>73.13</v>
      </c>
      <c r="F60" s="8">
        <v>0.033</v>
      </c>
      <c r="G60" s="7">
        <f>VLOOKUP(C60,Provinsi[[#ALL],[Daerah]:[IDI]],4,0)</f>
        <v>7.36</v>
      </c>
      <c r="H60" s="9">
        <f>VLOOKUP(C60,Provinsi[[#ALL],[Daerah]:[IDI]],5,0)</f>
        <v>89.25</v>
      </c>
      <c r="I60" s="9">
        <f>(E60 - MIN(KabKota[IPM])) / (MAX(KabKota[IPM]) - MIN(KabKota[IPM])) * 100</f>
        <v>66.62601626</v>
      </c>
      <c r="J60" s="9">
        <f>(F60 - MIN(KabKota[IKF])) / (MAX(KabKota[IKF]) - MIN(KabKota[IKF])) * 100</f>
        <v>4.125</v>
      </c>
      <c r="K60" s="9">
        <f>(G60 - MIN(KabKota[TIK])) / (MAX(KabKota[TIK]) - MIN(KabKota[TIK])) * 100</f>
        <v>87.96296296</v>
      </c>
      <c r="L60" s="9">
        <f>(H60 - MIN(KabKota[IDI])) / (MAX(KabKota[IDI]) - MIN(KabKota[IDI])) * 100</f>
        <v>100</v>
      </c>
      <c r="M60" s="9">
        <f t="shared" si="1"/>
        <v>64.67849481</v>
      </c>
      <c r="N60" s="11">
        <f>_xlfn.RANK.EQ(M60,KabKota[Rata-rata Skor])</f>
        <v>59</v>
      </c>
      <c r="O60" s="6">
        <f>COUNTIFS(KabKota[Regional], B60, KabKota[Rata-rata Skor], "&gt;"&amp;M60) + 1</f>
        <v>32</v>
      </c>
    </row>
    <row r="61" ht="22.5" customHeight="1">
      <c r="A61" s="5">
        <v>101.0</v>
      </c>
      <c r="B61" s="5" t="s">
        <v>70</v>
      </c>
      <c r="C61" s="5" t="s">
        <v>29</v>
      </c>
      <c r="D61" s="5" t="s">
        <v>124</v>
      </c>
      <c r="E61" s="7">
        <v>73.77</v>
      </c>
      <c r="F61" s="8">
        <v>0.328</v>
      </c>
      <c r="G61" s="7">
        <f>VLOOKUP(C61,Provinsi[[#ALL],[Daerah]:[IDI]],4,0)</f>
        <v>5.97</v>
      </c>
      <c r="H61" s="9">
        <f>VLOOKUP(C61,Provinsi[[#ALL],[Daerah]:[IDI]],5,0)</f>
        <v>82.71</v>
      </c>
      <c r="I61" s="9">
        <f>(E61 - MIN(KabKota[IPM])) / (MAX(KabKota[IPM]) - MIN(KabKota[IPM])) * 100</f>
        <v>67.92682927</v>
      </c>
      <c r="J61" s="9">
        <f>(F61 - MIN(KabKota[IKF])) / (MAX(KabKota[IKF]) - MIN(KabKota[IKF])) * 100</f>
        <v>41</v>
      </c>
      <c r="K61" s="9">
        <f>(G61 - MIN(KabKota[TIK])) / (MAX(KabKota[TIK]) - MIN(KabKota[TIK])) * 100</f>
        <v>55.78703704</v>
      </c>
      <c r="L61" s="9">
        <f>(H61 - MIN(KabKota[IDI])) / (MAX(KabKota[IDI]) - MIN(KabKota[IDI])) * 100</f>
        <v>92.67226891</v>
      </c>
      <c r="M61" s="9">
        <f t="shared" si="1"/>
        <v>64.3465338</v>
      </c>
      <c r="N61" s="11">
        <f>_xlfn.RANK.EQ(M61,KabKota[Rata-rata Skor])</f>
        <v>60</v>
      </c>
      <c r="O61" s="6">
        <f>COUNTIFS(KabKota[Regional], B61, KabKota[Rata-rata Skor], "&gt;"&amp;M61) + 1</f>
        <v>9</v>
      </c>
    </row>
    <row r="62" ht="22.5" customHeight="1">
      <c r="A62" s="5">
        <v>196.0</v>
      </c>
      <c r="B62" s="5" t="s">
        <v>63</v>
      </c>
      <c r="C62" s="5" t="s">
        <v>30</v>
      </c>
      <c r="D62" s="5" t="s">
        <v>125</v>
      </c>
      <c r="E62" s="7">
        <v>76.95</v>
      </c>
      <c r="F62" s="8">
        <v>0.244</v>
      </c>
      <c r="G62" s="7">
        <f>VLOOKUP(C62,Provinsi[[#ALL],[Daerah]:[IDI]],4,0)</f>
        <v>5.98</v>
      </c>
      <c r="H62" s="9">
        <f>VLOOKUP(C62,Provinsi[[#ALL],[Daerah]:[IDI]],5,0)</f>
        <v>85.84</v>
      </c>
      <c r="I62" s="9">
        <f>(E62 - MIN(KabKota[IPM])) / (MAX(KabKota[IPM]) - MIN(KabKota[IPM])) * 100</f>
        <v>74.3902439</v>
      </c>
      <c r="J62" s="9">
        <f>(F62 - MIN(KabKota[IKF])) / (MAX(KabKota[IKF]) - MIN(KabKota[IKF])) * 100</f>
        <v>30.5</v>
      </c>
      <c r="K62" s="9">
        <f>(G62 - MIN(KabKota[TIK])) / (MAX(KabKota[TIK]) - MIN(KabKota[TIK])) * 100</f>
        <v>56.01851852</v>
      </c>
      <c r="L62" s="9">
        <f>(H62 - MIN(KabKota[IDI])) / (MAX(KabKota[IDI]) - MIN(KabKota[IDI])) * 100</f>
        <v>96.17927171</v>
      </c>
      <c r="M62" s="9">
        <f t="shared" si="1"/>
        <v>64.27200853</v>
      </c>
      <c r="N62" s="11">
        <f>_xlfn.RANK.EQ(M62,KabKota[Rata-rata Skor])</f>
        <v>61</v>
      </c>
      <c r="O62" s="6">
        <f>COUNTIFS(KabKota[Regional], B62, KabKota[Rata-rata Skor], "&gt;"&amp;M62) + 1</f>
        <v>33</v>
      </c>
    </row>
    <row r="63" ht="22.5" customHeight="1">
      <c r="A63" s="5">
        <v>28.0</v>
      </c>
      <c r="B63" s="5" t="s">
        <v>70</v>
      </c>
      <c r="C63" s="5" t="s">
        <v>21</v>
      </c>
      <c r="D63" s="5" t="s">
        <v>126</v>
      </c>
      <c r="E63" s="7">
        <v>75.58</v>
      </c>
      <c r="F63" s="8">
        <v>0.276</v>
      </c>
      <c r="G63" s="7">
        <f>VLOOKUP(C63,Provinsi[[#ALL],[Daerah]:[IDI]],4,0)</f>
        <v>6.2</v>
      </c>
      <c r="H63" s="9">
        <f>VLOOKUP(C63,Provinsi[[#ALL],[Daerah]:[IDI]],5,0)</f>
        <v>80.19</v>
      </c>
      <c r="I63" s="9">
        <f>(E63 - MIN(KabKota[IPM])) / (MAX(KabKota[IPM]) - MIN(KabKota[IPM])) * 100</f>
        <v>71.60569106</v>
      </c>
      <c r="J63" s="9">
        <f>(F63 - MIN(KabKota[IKF])) / (MAX(KabKota[IKF]) - MIN(KabKota[IKF])) * 100</f>
        <v>34.5</v>
      </c>
      <c r="K63" s="9">
        <f>(G63 - MIN(KabKota[TIK])) / (MAX(KabKota[TIK]) - MIN(KabKota[TIK])) * 100</f>
        <v>61.11111111</v>
      </c>
      <c r="L63" s="9">
        <f>(H63 - MIN(KabKota[IDI])) / (MAX(KabKota[IDI]) - MIN(KabKota[IDI])) * 100</f>
        <v>89.8487395</v>
      </c>
      <c r="M63" s="9">
        <f t="shared" si="1"/>
        <v>64.26638542</v>
      </c>
      <c r="N63" s="11">
        <f>_xlfn.RANK.EQ(M63,KabKota[Rata-rata Skor])</f>
        <v>62</v>
      </c>
      <c r="O63" s="6">
        <f>COUNTIFS(KabKota[Regional], B63, KabKota[Rata-rata Skor], "&gt;"&amp;M63) + 1</f>
        <v>10</v>
      </c>
    </row>
    <row r="64" ht="22.5" customHeight="1">
      <c r="A64" s="5">
        <v>69.0</v>
      </c>
      <c r="B64" s="5" t="s">
        <v>70</v>
      </c>
      <c r="C64" s="5" t="s">
        <v>34</v>
      </c>
      <c r="D64" s="5" t="s">
        <v>127</v>
      </c>
      <c r="E64" s="7">
        <v>84.93</v>
      </c>
      <c r="F64" s="8">
        <v>0.123</v>
      </c>
      <c r="G64" s="7">
        <f>VLOOKUP(C64,Provinsi[[#ALL],[Daerah]:[IDI]],4,0)</f>
        <v>6.27</v>
      </c>
      <c r="H64" s="9">
        <f>VLOOKUP(C64,Provinsi[[#ALL],[Daerah]:[IDI]],5,0)</f>
        <v>78.83</v>
      </c>
      <c r="I64" s="9">
        <f>(E64 - MIN(KabKota[IPM])) / (MAX(KabKota[IPM]) - MIN(KabKota[IPM])) * 100</f>
        <v>90.6097561</v>
      </c>
      <c r="J64" s="9">
        <f>(F64 - MIN(KabKota[IKF])) / (MAX(KabKota[IKF]) - MIN(KabKota[IKF])) * 100</f>
        <v>15.375</v>
      </c>
      <c r="K64" s="9">
        <f>(G64 - MIN(KabKota[TIK])) / (MAX(KabKota[TIK]) - MIN(KabKota[TIK])) * 100</f>
        <v>62.73148148</v>
      </c>
      <c r="L64" s="9">
        <f>(H64 - MIN(KabKota[IDI])) / (MAX(KabKota[IDI]) - MIN(KabKota[IDI])) * 100</f>
        <v>88.32492997</v>
      </c>
      <c r="M64" s="9">
        <f t="shared" si="1"/>
        <v>64.26029189</v>
      </c>
      <c r="N64" s="11">
        <f>_xlfn.RANK.EQ(M64,KabKota[Rata-rata Skor])</f>
        <v>63</v>
      </c>
      <c r="O64" s="6">
        <f>COUNTIFS(KabKota[Regional], B64, KabKota[Rata-rata Skor], "&gt;"&amp;M64) + 1</f>
        <v>11</v>
      </c>
    </row>
    <row r="65" ht="22.5" customHeight="1">
      <c r="A65" s="5">
        <v>183.0</v>
      </c>
      <c r="B65" s="5" t="s">
        <v>63</v>
      </c>
      <c r="C65" s="5" t="s">
        <v>19</v>
      </c>
      <c r="D65" s="5" t="s">
        <v>128</v>
      </c>
      <c r="E65" s="7">
        <v>84.43</v>
      </c>
      <c r="F65" s="8">
        <v>0.084</v>
      </c>
      <c r="G65" s="7">
        <f>VLOOKUP(C65,Provinsi[[#ALL],[Daerah]:[IDI]],4,0)</f>
        <v>6.33</v>
      </c>
      <c r="H65" s="9">
        <f>VLOOKUP(C65,Provinsi[[#ALL],[Daerah]:[IDI]],5,0)</f>
        <v>82.8</v>
      </c>
      <c r="I65" s="9">
        <f>(E65 - MIN(KabKota[IPM])) / (MAX(KabKota[IPM]) - MIN(KabKota[IPM])) * 100</f>
        <v>89.59349593</v>
      </c>
      <c r="J65" s="9">
        <f>(F65 - MIN(KabKota[IKF])) / (MAX(KabKota[IKF]) - MIN(KabKota[IKF])) * 100</f>
        <v>10.5</v>
      </c>
      <c r="K65" s="9">
        <f>(G65 - MIN(KabKota[TIK])) / (MAX(KabKota[TIK]) - MIN(KabKota[TIK])) * 100</f>
        <v>64.12037037</v>
      </c>
      <c r="L65" s="9">
        <f>(H65 - MIN(KabKota[IDI])) / (MAX(KabKota[IDI]) - MIN(KabKota[IDI])) * 100</f>
        <v>92.77310924</v>
      </c>
      <c r="M65" s="9">
        <f t="shared" si="1"/>
        <v>64.24674389</v>
      </c>
      <c r="N65" s="11">
        <f>_xlfn.RANK.EQ(M65,KabKota[Rata-rata Skor])</f>
        <v>64</v>
      </c>
      <c r="O65" s="6">
        <f>COUNTIFS(KabKota[Regional], B65, KabKota[Rata-rata Skor], "&gt;"&amp;M65) + 1</f>
        <v>34</v>
      </c>
    </row>
    <row r="66" ht="22.5" customHeight="1">
      <c r="A66" s="5">
        <v>365.0</v>
      </c>
      <c r="B66" s="5" t="s">
        <v>77</v>
      </c>
      <c r="C66" s="5" t="s">
        <v>28</v>
      </c>
      <c r="D66" s="5" t="s">
        <v>129</v>
      </c>
      <c r="E66" s="7">
        <v>83.04</v>
      </c>
      <c r="F66" s="8">
        <v>0.05</v>
      </c>
      <c r="G66" s="7">
        <f>VLOOKUP(C66,Provinsi[[#ALL],[Daerah]:[IDI]],4,0)</f>
        <v>6.73</v>
      </c>
      <c r="H66" s="9">
        <f>VLOOKUP(C66,Provinsi[[#ALL],[Daerah]:[IDI]],5,0)</f>
        <v>80.69</v>
      </c>
      <c r="I66" s="9">
        <f>(E66 - MIN(KabKota[IPM])) / (MAX(KabKota[IPM]) - MIN(KabKota[IPM])) * 100</f>
        <v>86.76829268</v>
      </c>
      <c r="J66" s="9">
        <f>(F66 - MIN(KabKota[IKF])) / (MAX(KabKota[IKF]) - MIN(KabKota[IKF])) * 100</f>
        <v>6.25</v>
      </c>
      <c r="K66" s="9">
        <f>(G66 - MIN(KabKota[TIK])) / (MAX(KabKota[TIK]) - MIN(KabKota[TIK])) * 100</f>
        <v>73.37962963</v>
      </c>
      <c r="L66" s="9">
        <f>(H66 - MIN(KabKota[IDI])) / (MAX(KabKota[IDI]) - MIN(KabKota[IDI])) * 100</f>
        <v>90.40896359</v>
      </c>
      <c r="M66" s="9">
        <f t="shared" si="1"/>
        <v>64.20172147</v>
      </c>
      <c r="N66" s="11">
        <f>_xlfn.RANK.EQ(M66,KabKota[Rata-rata Skor])</f>
        <v>65</v>
      </c>
      <c r="O66" s="6">
        <f>COUNTIFS(KabKota[Regional], B66, KabKota[Rata-rata Skor], "&gt;"&amp;M66) + 1</f>
        <v>11</v>
      </c>
    </row>
    <row r="67" ht="22.5" customHeight="1">
      <c r="A67" s="5">
        <v>242.0</v>
      </c>
      <c r="B67" s="5" t="s">
        <v>63</v>
      </c>
      <c r="C67" s="5" t="s">
        <v>23</v>
      </c>
      <c r="D67" s="5" t="s">
        <v>130</v>
      </c>
      <c r="E67" s="7">
        <v>83.35</v>
      </c>
      <c r="F67" s="8">
        <v>0.132</v>
      </c>
      <c r="G67" s="7">
        <f>VLOOKUP(C67,Provinsi[[#ALL],[Daerah]:[IDI]],4,0)</f>
        <v>6.07</v>
      </c>
      <c r="H67" s="9">
        <f>VLOOKUP(C67,Provinsi[[#ALL],[Daerah]:[IDI]],5,0)</f>
        <v>84.17</v>
      </c>
      <c r="I67" s="9">
        <f>(E67 - MIN(KabKota[IPM])) / (MAX(KabKota[IPM]) - MIN(KabKota[IPM])) * 100</f>
        <v>87.39837398</v>
      </c>
      <c r="J67" s="9">
        <f>(F67 - MIN(KabKota[IKF])) / (MAX(KabKota[IKF]) - MIN(KabKota[IKF])) * 100</f>
        <v>16.5</v>
      </c>
      <c r="K67" s="9">
        <f>(G67 - MIN(KabKota[TIK])) / (MAX(KabKota[TIK]) - MIN(KabKota[TIK])) * 100</f>
        <v>58.10185185</v>
      </c>
      <c r="L67" s="9">
        <f>(H67 - MIN(KabKota[IDI])) / (MAX(KabKota[IDI]) - MIN(KabKota[IDI])) * 100</f>
        <v>94.30812325</v>
      </c>
      <c r="M67" s="9">
        <f t="shared" si="1"/>
        <v>64.07708727</v>
      </c>
      <c r="N67" s="11">
        <f>_xlfn.RANK.EQ(M67,KabKota[Rata-rata Skor])</f>
        <v>66</v>
      </c>
      <c r="O67" s="6">
        <f>COUNTIFS(KabKota[Regional], B67, KabKota[Rata-rata Skor], "&gt;"&amp;M67) + 1</f>
        <v>35</v>
      </c>
    </row>
    <row r="68" ht="22.5" customHeight="1">
      <c r="A68" s="5">
        <v>355.0</v>
      </c>
      <c r="B68" s="5" t="s">
        <v>77</v>
      </c>
      <c r="C68" s="5" t="s">
        <v>41</v>
      </c>
      <c r="D68" s="5" t="s">
        <v>131</v>
      </c>
      <c r="E68" s="7">
        <v>82.2</v>
      </c>
      <c r="F68" s="8">
        <v>0.157</v>
      </c>
      <c r="G68" s="7">
        <f>VLOOKUP(C68,Provinsi[[#ALL],[Daerah]:[IDI]],4,0)</f>
        <v>6.13</v>
      </c>
      <c r="H68" s="9">
        <f>VLOOKUP(C68,Provinsi[[#ALL],[Daerah]:[IDI]],5,0)</f>
        <v>81.91</v>
      </c>
      <c r="I68" s="9">
        <f>(E68 - MIN(KabKota[IPM])) / (MAX(KabKota[IPM]) - MIN(KabKota[IPM])) * 100</f>
        <v>85.06097561</v>
      </c>
      <c r="J68" s="9">
        <f>(F68 - MIN(KabKota[IKF])) / (MAX(KabKota[IKF]) - MIN(KabKota[IKF])) * 100</f>
        <v>19.625</v>
      </c>
      <c r="K68" s="9">
        <f>(G68 - MIN(KabKota[TIK])) / (MAX(KabKota[TIK]) - MIN(KabKota[TIK])) * 100</f>
        <v>59.49074074</v>
      </c>
      <c r="L68" s="9">
        <f>(H68 - MIN(KabKota[IDI])) / (MAX(KabKota[IDI]) - MIN(KabKota[IDI])) * 100</f>
        <v>91.77591036</v>
      </c>
      <c r="M68" s="9">
        <f t="shared" si="1"/>
        <v>63.98815668</v>
      </c>
      <c r="N68" s="11">
        <f>_xlfn.RANK.EQ(M68,KabKota[Rata-rata Skor])</f>
        <v>67</v>
      </c>
      <c r="O68" s="6">
        <f>COUNTIFS(KabKota[Regional], B68, KabKota[Rata-rata Skor], "&gt;"&amp;M68) + 1</f>
        <v>12</v>
      </c>
    </row>
    <row r="69" ht="22.5" customHeight="1">
      <c r="A69" s="5">
        <v>275.0</v>
      </c>
      <c r="B69" s="5" t="s">
        <v>60</v>
      </c>
      <c r="C69" s="5" t="s">
        <v>18</v>
      </c>
      <c r="D69" s="5" t="s">
        <v>132</v>
      </c>
      <c r="E69" s="7">
        <v>79.7</v>
      </c>
      <c r="F69" s="8">
        <v>0.01</v>
      </c>
      <c r="G69" s="7">
        <f>VLOOKUP(C69,Provinsi[[#ALL],[Daerah]:[IDI]],4,0)</f>
        <v>6.82</v>
      </c>
      <c r="H69" s="9">
        <f>VLOOKUP(C69,Provinsi[[#ALL],[Daerah]:[IDI]],5,0)</f>
        <v>88.34</v>
      </c>
      <c r="I69" s="9">
        <f>(E69 - MIN(KabKota[IPM])) / (MAX(KabKota[IPM]) - MIN(KabKota[IPM])) * 100</f>
        <v>79.9796748</v>
      </c>
      <c r="J69" s="9">
        <f>(F69 - MIN(KabKota[IKF])) / (MAX(KabKota[IKF]) - MIN(KabKota[IKF])) * 100</f>
        <v>1.25</v>
      </c>
      <c r="K69" s="9">
        <f>(G69 - MIN(KabKota[TIK])) / (MAX(KabKota[TIK]) - MIN(KabKota[TIK])) * 100</f>
        <v>75.46296296</v>
      </c>
      <c r="L69" s="9">
        <f>(H69 - MIN(KabKota[IDI])) / (MAX(KabKota[IDI]) - MIN(KabKota[IDI])) * 100</f>
        <v>98.98039216</v>
      </c>
      <c r="M69" s="9">
        <f t="shared" si="1"/>
        <v>63.91825748</v>
      </c>
      <c r="N69" s="11">
        <f>_xlfn.RANK.EQ(M69,KabKota[Rata-rata Skor])</f>
        <v>68</v>
      </c>
      <c r="O69" s="6">
        <f>COUNTIFS(KabKota[Regional], B69, KabKota[Rata-rata Skor], "&gt;"&amp;M69) + 1</f>
        <v>6</v>
      </c>
    </row>
    <row r="70" ht="22.5" customHeight="1">
      <c r="A70" s="5">
        <v>363.0</v>
      </c>
      <c r="B70" s="5" t="s">
        <v>77</v>
      </c>
      <c r="C70" s="5" t="s">
        <v>28</v>
      </c>
      <c r="D70" s="5" t="s">
        <v>133</v>
      </c>
      <c r="E70" s="7">
        <v>83.23</v>
      </c>
      <c r="F70" s="8">
        <v>0.033</v>
      </c>
      <c r="G70" s="7">
        <f>VLOOKUP(C70,Provinsi[[#ALL],[Daerah]:[IDI]],4,0)</f>
        <v>6.73</v>
      </c>
      <c r="H70" s="9">
        <f>VLOOKUP(C70,Provinsi[[#ALL],[Daerah]:[IDI]],5,0)</f>
        <v>80.69</v>
      </c>
      <c r="I70" s="9">
        <f>(E70 - MIN(KabKota[IPM])) / (MAX(KabKota[IPM]) - MIN(KabKota[IPM])) * 100</f>
        <v>87.15447154</v>
      </c>
      <c r="J70" s="9">
        <f>(F70 - MIN(KabKota[IKF])) / (MAX(KabKota[IKF]) - MIN(KabKota[IKF])) * 100</f>
        <v>4.125</v>
      </c>
      <c r="K70" s="9">
        <f>(G70 - MIN(KabKota[TIK])) / (MAX(KabKota[TIK]) - MIN(KabKota[TIK])) * 100</f>
        <v>73.37962963</v>
      </c>
      <c r="L70" s="9">
        <f>(H70 - MIN(KabKota[IDI])) / (MAX(KabKota[IDI]) - MIN(KabKota[IDI])) * 100</f>
        <v>90.40896359</v>
      </c>
      <c r="M70" s="9">
        <f t="shared" si="1"/>
        <v>63.76701619</v>
      </c>
      <c r="N70" s="11">
        <f>_xlfn.RANK.EQ(M70,KabKota[Rata-rata Skor])</f>
        <v>69</v>
      </c>
      <c r="O70" s="6">
        <f>COUNTIFS(KabKota[Regional], B70, KabKota[Rata-rata Skor], "&gt;"&amp;M70) + 1</f>
        <v>13</v>
      </c>
    </row>
    <row r="71" ht="22.5" customHeight="1">
      <c r="A71" s="5">
        <v>354.0</v>
      </c>
      <c r="B71" s="5" t="s">
        <v>77</v>
      </c>
      <c r="C71" s="5" t="s">
        <v>41</v>
      </c>
      <c r="D71" s="5" t="s">
        <v>134</v>
      </c>
      <c r="E71" s="7">
        <v>80.88</v>
      </c>
      <c r="F71" s="8">
        <v>0.171</v>
      </c>
      <c r="G71" s="7">
        <f>VLOOKUP(C71,Provinsi[[#ALL],[Daerah]:[IDI]],4,0)</f>
        <v>6.13</v>
      </c>
      <c r="H71" s="9">
        <f>VLOOKUP(C71,Provinsi[[#ALL],[Daerah]:[IDI]],5,0)</f>
        <v>81.91</v>
      </c>
      <c r="I71" s="9">
        <f>(E71 - MIN(KabKota[IPM])) / (MAX(KabKota[IPM]) - MIN(KabKota[IPM])) * 100</f>
        <v>82.37804878</v>
      </c>
      <c r="J71" s="9">
        <f>(F71 - MIN(KabKota[IKF])) / (MAX(KabKota[IKF]) - MIN(KabKota[IKF])) * 100</f>
        <v>21.375</v>
      </c>
      <c r="K71" s="9">
        <f>(G71 - MIN(KabKota[TIK])) / (MAX(KabKota[TIK]) - MIN(KabKota[TIK])) * 100</f>
        <v>59.49074074</v>
      </c>
      <c r="L71" s="9">
        <f>(H71 - MIN(KabKota[IDI])) / (MAX(KabKota[IDI]) - MIN(KabKota[IDI])) * 100</f>
        <v>91.77591036</v>
      </c>
      <c r="M71" s="9">
        <f t="shared" si="1"/>
        <v>63.75492497</v>
      </c>
      <c r="N71" s="11">
        <f>_xlfn.RANK.EQ(M71,KabKota[Rata-rata Skor])</f>
        <v>70</v>
      </c>
      <c r="O71" s="6">
        <f>COUNTIFS(KabKota[Regional], B71, KabKota[Rata-rata Skor], "&gt;"&amp;M71) + 1</f>
        <v>14</v>
      </c>
    </row>
    <row r="72" ht="22.5" customHeight="1">
      <c r="A72" s="5">
        <v>30.0</v>
      </c>
      <c r="B72" s="5" t="s">
        <v>70</v>
      </c>
      <c r="C72" s="5" t="s">
        <v>21</v>
      </c>
      <c r="D72" s="5" t="s">
        <v>135</v>
      </c>
      <c r="E72" s="7">
        <v>78.29</v>
      </c>
      <c r="F72" s="8">
        <v>0.208</v>
      </c>
      <c r="G72" s="7">
        <f>VLOOKUP(C72,Provinsi[[#ALL],[Daerah]:[IDI]],4,0)</f>
        <v>6.2</v>
      </c>
      <c r="H72" s="9">
        <f>VLOOKUP(C72,Provinsi[[#ALL],[Daerah]:[IDI]],5,0)</f>
        <v>80.19</v>
      </c>
      <c r="I72" s="9">
        <f>(E72 - MIN(KabKota[IPM])) / (MAX(KabKota[IPM]) - MIN(KabKota[IPM])) * 100</f>
        <v>77.11382114</v>
      </c>
      <c r="J72" s="9">
        <f>(F72 - MIN(KabKota[IKF])) / (MAX(KabKota[IKF]) - MIN(KabKota[IKF])) * 100</f>
        <v>26</v>
      </c>
      <c r="K72" s="9">
        <f>(G72 - MIN(KabKota[TIK])) / (MAX(KabKota[TIK]) - MIN(KabKota[TIK])) * 100</f>
        <v>61.11111111</v>
      </c>
      <c r="L72" s="9">
        <f>(H72 - MIN(KabKota[IDI])) / (MAX(KabKota[IDI]) - MIN(KabKota[IDI])) * 100</f>
        <v>89.8487395</v>
      </c>
      <c r="M72" s="9">
        <f t="shared" si="1"/>
        <v>63.51841794</v>
      </c>
      <c r="N72" s="11">
        <f>_xlfn.RANK.EQ(M72,KabKota[Rata-rata Skor])</f>
        <v>71</v>
      </c>
      <c r="O72" s="6">
        <f>COUNTIFS(KabKota[Regional], B72, KabKota[Rata-rata Skor], "&gt;"&amp;M72) + 1</f>
        <v>12</v>
      </c>
    </row>
    <row r="73" ht="22.5" customHeight="1">
      <c r="A73" s="5">
        <v>125.0</v>
      </c>
      <c r="B73" s="5" t="s">
        <v>70</v>
      </c>
      <c r="C73" s="5" t="s">
        <v>39</v>
      </c>
      <c r="D73" s="5" t="s">
        <v>136</v>
      </c>
      <c r="E73" s="7">
        <v>84.59</v>
      </c>
      <c r="F73" s="8">
        <v>0.108</v>
      </c>
      <c r="G73" s="7">
        <f>VLOOKUP(C73,Provinsi[[#ALL],[Daerah]:[IDI]],4,0)</f>
        <v>6.19</v>
      </c>
      <c r="H73" s="9">
        <f>VLOOKUP(C73,Provinsi[[#ALL],[Daerah]:[IDI]],5,0)</f>
        <v>79.66</v>
      </c>
      <c r="I73" s="9">
        <f>(E73 - MIN(KabKota[IPM])) / (MAX(KabKota[IPM]) - MIN(KabKota[IPM])) * 100</f>
        <v>89.91869919</v>
      </c>
      <c r="J73" s="9">
        <f>(F73 - MIN(KabKota[IKF])) / (MAX(KabKota[IKF]) - MIN(KabKota[IKF])) * 100</f>
        <v>13.5</v>
      </c>
      <c r="K73" s="9">
        <f>(G73 - MIN(KabKota[TIK])) / (MAX(KabKota[TIK]) - MIN(KabKota[TIK])) * 100</f>
        <v>60.87962963</v>
      </c>
      <c r="L73" s="9">
        <f>(H73 - MIN(KabKota[IDI])) / (MAX(KabKota[IDI]) - MIN(KabKota[IDI])) * 100</f>
        <v>89.25490196</v>
      </c>
      <c r="M73" s="9">
        <f t="shared" si="1"/>
        <v>63.38830769</v>
      </c>
      <c r="N73" s="11">
        <f>_xlfn.RANK.EQ(M73,KabKota[Rata-rata Skor])</f>
        <v>72</v>
      </c>
      <c r="O73" s="6">
        <f>COUNTIFS(KabKota[Regional], B73, KabKota[Rata-rata Skor], "&gt;"&amp;M73) + 1</f>
        <v>13</v>
      </c>
    </row>
    <row r="74" ht="22.5" customHeight="1">
      <c r="A74" s="5">
        <v>265.0</v>
      </c>
      <c r="B74" s="5" t="s">
        <v>63</v>
      </c>
      <c r="C74" s="5" t="s">
        <v>23</v>
      </c>
      <c r="D74" s="5" t="s">
        <v>137</v>
      </c>
      <c r="E74" s="7">
        <v>80.35</v>
      </c>
      <c r="F74" s="8">
        <v>0.158</v>
      </c>
      <c r="G74" s="7">
        <f>VLOOKUP(C74,Provinsi[[#ALL],[Daerah]:[IDI]],4,0)</f>
        <v>6.07</v>
      </c>
      <c r="H74" s="9">
        <f>VLOOKUP(C74,Provinsi[[#ALL],[Daerah]:[IDI]],5,0)</f>
        <v>84.17</v>
      </c>
      <c r="I74" s="9">
        <f>(E74 - MIN(KabKota[IPM])) / (MAX(KabKota[IPM]) - MIN(KabKota[IPM])) * 100</f>
        <v>81.30081301</v>
      </c>
      <c r="J74" s="9">
        <f>(F74 - MIN(KabKota[IKF])) / (MAX(KabKota[IKF]) - MIN(KabKota[IKF])) * 100</f>
        <v>19.75</v>
      </c>
      <c r="K74" s="9">
        <f>(G74 - MIN(KabKota[TIK])) / (MAX(KabKota[TIK]) - MIN(KabKota[TIK])) * 100</f>
        <v>58.10185185</v>
      </c>
      <c r="L74" s="9">
        <f>(H74 - MIN(KabKota[IDI])) / (MAX(KabKota[IDI]) - MIN(KabKota[IDI])) * 100</f>
        <v>94.30812325</v>
      </c>
      <c r="M74" s="9">
        <f t="shared" si="1"/>
        <v>63.36519703</v>
      </c>
      <c r="N74" s="11">
        <f>_xlfn.RANK.EQ(M74,KabKota[Rata-rata Skor])</f>
        <v>73</v>
      </c>
      <c r="O74" s="6">
        <f>COUNTIFS(KabKota[Regional], B74, KabKota[Rata-rata Skor], "&gt;"&amp;M74) + 1</f>
        <v>36</v>
      </c>
    </row>
    <row r="75" ht="22.5" customHeight="1">
      <c r="A75" s="5">
        <v>114.0</v>
      </c>
      <c r="B75" s="5" t="s">
        <v>70</v>
      </c>
      <c r="C75" s="5" t="s">
        <v>29</v>
      </c>
      <c r="D75" s="5" t="s">
        <v>138</v>
      </c>
      <c r="E75" s="7">
        <v>79.94</v>
      </c>
      <c r="F75" s="8">
        <v>0.196</v>
      </c>
      <c r="G75" s="7">
        <f>VLOOKUP(C75,Provinsi[[#ALL],[Daerah]:[IDI]],4,0)</f>
        <v>5.97</v>
      </c>
      <c r="H75" s="9">
        <f>VLOOKUP(C75,Provinsi[[#ALL],[Daerah]:[IDI]],5,0)</f>
        <v>82.71</v>
      </c>
      <c r="I75" s="9">
        <f>(E75 - MIN(KabKota[IPM])) / (MAX(KabKota[IPM]) - MIN(KabKota[IPM])) * 100</f>
        <v>80.46747967</v>
      </c>
      <c r="J75" s="9">
        <f>(F75 - MIN(KabKota[IKF])) / (MAX(KabKota[IKF]) - MIN(KabKota[IKF])) * 100</f>
        <v>24.5</v>
      </c>
      <c r="K75" s="9">
        <f>(G75 - MIN(KabKota[TIK])) / (MAX(KabKota[TIK]) - MIN(KabKota[TIK])) * 100</f>
        <v>55.78703704</v>
      </c>
      <c r="L75" s="9">
        <f>(H75 - MIN(KabKota[IDI])) / (MAX(KabKota[IDI]) - MIN(KabKota[IDI])) * 100</f>
        <v>92.67226891</v>
      </c>
      <c r="M75" s="9">
        <f t="shared" si="1"/>
        <v>63.3566964</v>
      </c>
      <c r="N75" s="11">
        <f>_xlfn.RANK.EQ(M75,KabKota[Rata-rata Skor])</f>
        <v>74</v>
      </c>
      <c r="O75" s="6">
        <f>COUNTIFS(KabKota[Regional], B75, KabKota[Rata-rata Skor], "&gt;"&amp;M75) + 1</f>
        <v>14</v>
      </c>
    </row>
    <row r="76" ht="22.5" customHeight="1">
      <c r="A76" s="5">
        <v>198.0</v>
      </c>
      <c r="B76" s="5" t="s">
        <v>63</v>
      </c>
      <c r="C76" s="5" t="s">
        <v>30</v>
      </c>
      <c r="D76" s="5" t="s">
        <v>139</v>
      </c>
      <c r="E76" s="7">
        <v>79.9</v>
      </c>
      <c r="F76" s="8">
        <v>0.165</v>
      </c>
      <c r="G76" s="7">
        <f>VLOOKUP(C76,Provinsi[[#ALL],[Daerah]:[IDI]],4,0)</f>
        <v>5.98</v>
      </c>
      <c r="H76" s="9">
        <f>VLOOKUP(C76,Provinsi[[#ALL],[Daerah]:[IDI]],5,0)</f>
        <v>85.84</v>
      </c>
      <c r="I76" s="9">
        <f>(E76 - MIN(KabKota[IPM])) / (MAX(KabKota[IPM]) - MIN(KabKota[IPM])) * 100</f>
        <v>80.38617886</v>
      </c>
      <c r="J76" s="9">
        <f>(F76 - MIN(KabKota[IKF])) / (MAX(KabKota[IKF]) - MIN(KabKota[IKF])) * 100</f>
        <v>20.625</v>
      </c>
      <c r="K76" s="9">
        <f>(G76 - MIN(KabKota[TIK])) / (MAX(KabKota[TIK]) - MIN(KabKota[TIK])) * 100</f>
        <v>56.01851852</v>
      </c>
      <c r="L76" s="9">
        <f>(H76 - MIN(KabKota[IDI])) / (MAX(KabKota[IDI]) - MIN(KabKota[IDI])) * 100</f>
        <v>96.17927171</v>
      </c>
      <c r="M76" s="9">
        <f t="shared" si="1"/>
        <v>63.30224227</v>
      </c>
      <c r="N76" s="11">
        <f>_xlfn.RANK.EQ(M76,KabKota[Rata-rata Skor])</f>
        <v>75</v>
      </c>
      <c r="O76" s="6">
        <f>COUNTIFS(KabKota[Regional], B76, KabKota[Rata-rata Skor], "&gt;"&amp;M76) + 1</f>
        <v>37</v>
      </c>
    </row>
    <row r="77" ht="22.5" customHeight="1">
      <c r="A77" s="5">
        <v>438.0</v>
      </c>
      <c r="B77" s="5" t="s">
        <v>75</v>
      </c>
      <c r="C77" s="5" t="s">
        <v>46</v>
      </c>
      <c r="D77" s="5" t="s">
        <v>140</v>
      </c>
      <c r="E77" s="7">
        <v>86.36</v>
      </c>
      <c r="F77" s="8">
        <v>0.12</v>
      </c>
      <c r="G77" s="7">
        <f>VLOOKUP(C77,Provinsi[[#ALL],[Daerah]:[IDI]],4,0)</f>
        <v>6.03</v>
      </c>
      <c r="H77" s="9">
        <f>VLOOKUP(C77,Provinsi[[#ALL],[Daerah]:[IDI]],5,0)</f>
        <v>78.04</v>
      </c>
      <c r="I77" s="9">
        <f>(E77 - MIN(KabKota[IPM])) / (MAX(KabKota[IPM]) - MIN(KabKota[IPM])) * 100</f>
        <v>93.51626016</v>
      </c>
      <c r="J77" s="9">
        <f>(F77 - MIN(KabKota[IKF])) / (MAX(KabKota[IKF]) - MIN(KabKota[IKF])) * 100</f>
        <v>15</v>
      </c>
      <c r="K77" s="9">
        <f>(G77 - MIN(KabKota[TIK])) / (MAX(KabKota[TIK]) - MIN(KabKota[TIK])) * 100</f>
        <v>57.17592593</v>
      </c>
      <c r="L77" s="9">
        <f>(H77 - MIN(KabKota[IDI])) / (MAX(KabKota[IDI]) - MIN(KabKota[IDI])) * 100</f>
        <v>87.43977591</v>
      </c>
      <c r="M77" s="9">
        <f t="shared" si="1"/>
        <v>63.2829905</v>
      </c>
      <c r="N77" s="11">
        <f>_xlfn.RANK.EQ(M77,KabKota[Rata-rata Skor])</f>
        <v>76</v>
      </c>
      <c r="O77" s="6">
        <f>COUNTIFS(KabKota[Regional], B77, KabKota[Rata-rata Skor], "&gt;"&amp;M77) + 1</f>
        <v>5</v>
      </c>
    </row>
    <row r="78" ht="22.5" customHeight="1">
      <c r="A78" s="5">
        <v>274.0</v>
      </c>
      <c r="B78" s="5" t="s">
        <v>60</v>
      </c>
      <c r="C78" s="5" t="s">
        <v>18</v>
      </c>
      <c r="D78" s="5" t="s">
        <v>141</v>
      </c>
      <c r="E78" s="7">
        <v>75.94</v>
      </c>
      <c r="F78" s="8">
        <v>0.048</v>
      </c>
      <c r="G78" s="7">
        <f>VLOOKUP(C78,Provinsi[[#ALL],[Daerah]:[IDI]],4,0)</f>
        <v>6.82</v>
      </c>
      <c r="H78" s="9">
        <f>VLOOKUP(C78,Provinsi[[#ALL],[Daerah]:[IDI]],5,0)</f>
        <v>88.34</v>
      </c>
      <c r="I78" s="9">
        <f>(E78 - MIN(KabKota[IPM])) / (MAX(KabKota[IPM]) - MIN(KabKota[IPM])) * 100</f>
        <v>72.33739837</v>
      </c>
      <c r="J78" s="9">
        <f>(F78 - MIN(KabKota[IKF])) / (MAX(KabKota[IKF]) - MIN(KabKota[IKF])) * 100</f>
        <v>6</v>
      </c>
      <c r="K78" s="9">
        <f>(G78 - MIN(KabKota[TIK])) / (MAX(KabKota[TIK]) - MIN(KabKota[TIK])) * 100</f>
        <v>75.46296296</v>
      </c>
      <c r="L78" s="9">
        <f>(H78 - MIN(KabKota[IDI])) / (MAX(KabKota[IDI]) - MIN(KabKota[IDI])) * 100</f>
        <v>98.98039216</v>
      </c>
      <c r="M78" s="9">
        <f t="shared" si="1"/>
        <v>63.19518837</v>
      </c>
      <c r="N78" s="11">
        <f>_xlfn.RANK.EQ(M78,KabKota[Rata-rata Skor])</f>
        <v>77</v>
      </c>
      <c r="O78" s="6">
        <f>COUNTIFS(KabKota[Regional], B78, KabKota[Rata-rata Skor], "&gt;"&amp;M78) + 1</f>
        <v>7</v>
      </c>
    </row>
    <row r="79" ht="22.5" customHeight="1">
      <c r="A79" s="5">
        <v>243.0</v>
      </c>
      <c r="B79" s="5" t="s">
        <v>63</v>
      </c>
      <c r="C79" s="5" t="s">
        <v>23</v>
      </c>
      <c r="D79" s="5" t="s">
        <v>142</v>
      </c>
      <c r="E79" s="7">
        <v>77.46</v>
      </c>
      <c r="F79" s="8">
        <v>0.19</v>
      </c>
      <c r="G79" s="7">
        <f>VLOOKUP(C79,Provinsi[[#ALL],[Daerah]:[IDI]],4,0)</f>
        <v>6.07</v>
      </c>
      <c r="H79" s="9">
        <f>VLOOKUP(C79,Provinsi[[#ALL],[Daerah]:[IDI]],5,0)</f>
        <v>84.17</v>
      </c>
      <c r="I79" s="9">
        <f>(E79 - MIN(KabKota[IPM])) / (MAX(KabKota[IPM]) - MIN(KabKota[IPM])) * 100</f>
        <v>75.42682927</v>
      </c>
      <c r="J79" s="9">
        <f>(F79 - MIN(KabKota[IKF])) / (MAX(KabKota[IKF]) - MIN(KabKota[IKF])) * 100</f>
        <v>23.75</v>
      </c>
      <c r="K79" s="9">
        <f>(G79 - MIN(KabKota[TIK])) / (MAX(KabKota[TIK]) - MIN(KabKota[TIK])) * 100</f>
        <v>58.10185185</v>
      </c>
      <c r="L79" s="9">
        <f>(H79 - MIN(KabKota[IDI])) / (MAX(KabKota[IDI]) - MIN(KabKota[IDI])) * 100</f>
        <v>94.30812325</v>
      </c>
      <c r="M79" s="9">
        <f t="shared" si="1"/>
        <v>62.89670109</v>
      </c>
      <c r="N79" s="11">
        <f>_xlfn.RANK.EQ(M79,KabKota[Rata-rata Skor])</f>
        <v>78</v>
      </c>
      <c r="O79" s="6">
        <f>COUNTIFS(KabKota[Regional], B79, KabKota[Rata-rata Skor], "&gt;"&amp;M79) + 1</f>
        <v>38</v>
      </c>
    </row>
    <row r="80" ht="22.5" customHeight="1">
      <c r="A80" s="5">
        <v>53.0</v>
      </c>
      <c r="B80" s="5" t="s">
        <v>70</v>
      </c>
      <c r="C80" s="5" t="s">
        <v>21</v>
      </c>
      <c r="D80" s="5" t="s">
        <v>143</v>
      </c>
      <c r="E80" s="7">
        <v>79.2</v>
      </c>
      <c r="F80" s="8">
        <v>0.173</v>
      </c>
      <c r="G80" s="7">
        <f>VLOOKUP(C80,Provinsi[[#ALL],[Daerah]:[IDI]],4,0)</f>
        <v>6.2</v>
      </c>
      <c r="H80" s="9">
        <f>VLOOKUP(C80,Provinsi[[#ALL],[Daerah]:[IDI]],5,0)</f>
        <v>80.19</v>
      </c>
      <c r="I80" s="9">
        <f>(E80 - MIN(KabKota[IPM])) / (MAX(KabKota[IPM]) - MIN(KabKota[IPM])) * 100</f>
        <v>78.96341463</v>
      </c>
      <c r="J80" s="9">
        <f>(F80 - MIN(KabKota[IKF])) / (MAX(KabKota[IKF]) - MIN(KabKota[IKF])) * 100</f>
        <v>21.625</v>
      </c>
      <c r="K80" s="9">
        <f>(G80 - MIN(KabKota[TIK])) / (MAX(KabKota[TIK]) - MIN(KabKota[TIK])) * 100</f>
        <v>61.11111111</v>
      </c>
      <c r="L80" s="9">
        <f>(H80 - MIN(KabKota[IDI])) / (MAX(KabKota[IDI]) - MIN(KabKota[IDI])) * 100</f>
        <v>89.8487395</v>
      </c>
      <c r="M80" s="9">
        <f t="shared" si="1"/>
        <v>62.88706631</v>
      </c>
      <c r="N80" s="11">
        <f>_xlfn.RANK.EQ(M80,KabKota[Rata-rata Skor])</f>
        <v>79</v>
      </c>
      <c r="O80" s="6">
        <f>COUNTIFS(KabKota[Regional], B80, KabKota[Rata-rata Skor], "&gt;"&amp;M80) + 1</f>
        <v>15</v>
      </c>
    </row>
    <row r="81" ht="22.5" customHeight="1">
      <c r="A81" s="5">
        <v>349.0</v>
      </c>
      <c r="B81" s="5" t="s">
        <v>77</v>
      </c>
      <c r="C81" s="5" t="s">
        <v>41</v>
      </c>
      <c r="D81" s="5" t="s">
        <v>144</v>
      </c>
      <c r="E81" s="7">
        <v>74.26</v>
      </c>
      <c r="F81" s="8">
        <v>0.249</v>
      </c>
      <c r="G81" s="7">
        <f>VLOOKUP(C81,Provinsi[[#ALL],[Daerah]:[IDI]],4,0)</f>
        <v>6.13</v>
      </c>
      <c r="H81" s="9">
        <f>VLOOKUP(C81,Provinsi[[#ALL],[Daerah]:[IDI]],5,0)</f>
        <v>81.91</v>
      </c>
      <c r="I81" s="9">
        <f>(E81 - MIN(KabKota[IPM])) / (MAX(KabKota[IPM]) - MIN(KabKota[IPM])) * 100</f>
        <v>68.92276423</v>
      </c>
      <c r="J81" s="9">
        <f>(F81 - MIN(KabKota[IKF])) / (MAX(KabKota[IKF]) - MIN(KabKota[IKF])) * 100</f>
        <v>31.125</v>
      </c>
      <c r="K81" s="9">
        <f>(G81 - MIN(KabKota[TIK])) / (MAX(KabKota[TIK]) - MIN(KabKota[TIK])) * 100</f>
        <v>59.49074074</v>
      </c>
      <c r="L81" s="9">
        <f>(H81 - MIN(KabKota[IDI])) / (MAX(KabKota[IDI]) - MIN(KabKota[IDI])) * 100</f>
        <v>91.77591036</v>
      </c>
      <c r="M81" s="9">
        <f t="shared" si="1"/>
        <v>62.82860383</v>
      </c>
      <c r="N81" s="11">
        <f>_xlfn.RANK.EQ(M81,KabKota[Rata-rata Skor])</f>
        <v>80</v>
      </c>
      <c r="O81" s="6">
        <f>COUNTIFS(KabKota[Regional], B81, KabKota[Rata-rata Skor], "&gt;"&amp;M81) + 1</f>
        <v>15</v>
      </c>
    </row>
    <row r="82" ht="22.5" customHeight="1">
      <c r="A82" s="5">
        <v>343.0</v>
      </c>
      <c r="B82" s="5" t="s">
        <v>77</v>
      </c>
      <c r="C82" s="5" t="s">
        <v>41</v>
      </c>
      <c r="D82" s="5" t="s">
        <v>145</v>
      </c>
      <c r="E82" s="7">
        <v>74.32</v>
      </c>
      <c r="F82" s="8">
        <v>0.247</v>
      </c>
      <c r="G82" s="7">
        <f>VLOOKUP(C82,Provinsi[[#ALL],[Daerah]:[IDI]],4,0)</f>
        <v>6.13</v>
      </c>
      <c r="H82" s="9">
        <f>VLOOKUP(C82,Provinsi[[#ALL],[Daerah]:[IDI]],5,0)</f>
        <v>81.91</v>
      </c>
      <c r="I82" s="9">
        <f>(E82 - MIN(KabKota[IPM])) / (MAX(KabKota[IPM]) - MIN(KabKota[IPM])) * 100</f>
        <v>69.04471545</v>
      </c>
      <c r="J82" s="9">
        <f>(F82 - MIN(KabKota[IKF])) / (MAX(KabKota[IKF]) - MIN(KabKota[IKF])) * 100</f>
        <v>30.875</v>
      </c>
      <c r="K82" s="9">
        <f>(G82 - MIN(KabKota[TIK])) / (MAX(KabKota[TIK]) - MIN(KabKota[TIK])) * 100</f>
        <v>59.49074074</v>
      </c>
      <c r="L82" s="9">
        <f>(H82 - MIN(KabKota[IDI])) / (MAX(KabKota[IDI]) - MIN(KabKota[IDI])) * 100</f>
        <v>91.77591036</v>
      </c>
      <c r="M82" s="9">
        <f t="shared" si="1"/>
        <v>62.79659164</v>
      </c>
      <c r="N82" s="11">
        <f>_xlfn.RANK.EQ(M82,KabKota[Rata-rata Skor])</f>
        <v>81</v>
      </c>
      <c r="O82" s="6">
        <f>COUNTIFS(KabKota[Regional], B82, KabKota[Rata-rata Skor], "&gt;"&amp;M82) + 1</f>
        <v>16</v>
      </c>
    </row>
    <row r="83" ht="22.5" customHeight="1">
      <c r="A83" s="5">
        <v>70.0</v>
      </c>
      <c r="B83" s="5" t="s">
        <v>70</v>
      </c>
      <c r="C83" s="5" t="s">
        <v>34</v>
      </c>
      <c r="D83" s="5" t="s">
        <v>146</v>
      </c>
      <c r="E83" s="7">
        <v>80.9</v>
      </c>
      <c r="F83" s="8">
        <v>0.141</v>
      </c>
      <c r="G83" s="7">
        <f>VLOOKUP(C83,Provinsi[[#ALL],[Daerah]:[IDI]],4,0)</f>
        <v>6.27</v>
      </c>
      <c r="H83" s="9">
        <f>VLOOKUP(C83,Provinsi[[#ALL],[Daerah]:[IDI]],5,0)</f>
        <v>78.83</v>
      </c>
      <c r="I83" s="9">
        <f>(E83 - MIN(KabKota[IPM])) / (MAX(KabKota[IPM]) - MIN(KabKota[IPM])) * 100</f>
        <v>82.41869919</v>
      </c>
      <c r="J83" s="9">
        <f>(F83 - MIN(KabKota[IKF])) / (MAX(KabKota[IKF]) - MIN(KabKota[IKF])) * 100</f>
        <v>17.625</v>
      </c>
      <c r="K83" s="9">
        <f>(G83 - MIN(KabKota[TIK])) / (MAX(KabKota[TIK]) - MIN(KabKota[TIK])) * 100</f>
        <v>62.73148148</v>
      </c>
      <c r="L83" s="9">
        <f>(H83 - MIN(KabKota[IDI])) / (MAX(KabKota[IDI]) - MIN(KabKota[IDI])) * 100</f>
        <v>88.32492997</v>
      </c>
      <c r="M83" s="9">
        <f t="shared" si="1"/>
        <v>62.77502766</v>
      </c>
      <c r="N83" s="11">
        <f>_xlfn.RANK.EQ(M83,KabKota[Rata-rata Skor])</f>
        <v>82</v>
      </c>
      <c r="O83" s="6">
        <f>COUNTIFS(KabKota[Regional], B83, KabKota[Rata-rata Skor], "&gt;"&amp;M83) + 1</f>
        <v>16</v>
      </c>
    </row>
    <row r="84" ht="22.5" customHeight="1">
      <c r="A84" s="5">
        <v>278.0</v>
      </c>
      <c r="B84" s="5" t="s">
        <v>60</v>
      </c>
      <c r="C84" s="5" t="s">
        <v>18</v>
      </c>
      <c r="D84" s="5" t="s">
        <v>147</v>
      </c>
      <c r="E84" s="7">
        <v>75.89</v>
      </c>
      <c r="F84" s="8">
        <v>0.035</v>
      </c>
      <c r="G84" s="7">
        <f>VLOOKUP(C84,Provinsi[[#ALL],[Daerah]:[IDI]],4,0)</f>
        <v>6.82</v>
      </c>
      <c r="H84" s="9">
        <f>VLOOKUP(C84,Provinsi[[#ALL],[Daerah]:[IDI]],5,0)</f>
        <v>88.34</v>
      </c>
      <c r="I84" s="9">
        <f>(E84 - MIN(KabKota[IPM])) / (MAX(KabKota[IPM]) - MIN(KabKota[IPM])) * 100</f>
        <v>72.23577236</v>
      </c>
      <c r="J84" s="9">
        <f>(F84 - MIN(KabKota[IKF])) / (MAX(KabKota[IKF]) - MIN(KabKota[IKF])) * 100</f>
        <v>4.375</v>
      </c>
      <c r="K84" s="9">
        <f>(G84 - MIN(KabKota[TIK])) / (MAX(KabKota[TIK]) - MIN(KabKota[TIK])) * 100</f>
        <v>75.46296296</v>
      </c>
      <c r="L84" s="9">
        <f>(H84 - MIN(KabKota[IDI])) / (MAX(KabKota[IDI]) - MIN(KabKota[IDI])) * 100</f>
        <v>98.98039216</v>
      </c>
      <c r="M84" s="9">
        <f t="shared" si="1"/>
        <v>62.76353187</v>
      </c>
      <c r="N84" s="11">
        <f>_xlfn.RANK.EQ(M84,KabKota[Rata-rata Skor])</f>
        <v>83</v>
      </c>
      <c r="O84" s="6">
        <f>COUNTIFS(KabKota[Regional], B84, KabKota[Rata-rata Skor], "&gt;"&amp;M84) + 1</f>
        <v>8</v>
      </c>
    </row>
    <row r="85" ht="22.5" customHeight="1">
      <c r="A85" s="5">
        <v>87.0</v>
      </c>
      <c r="B85" s="5" t="s">
        <v>70</v>
      </c>
      <c r="C85" s="5" t="s">
        <v>33</v>
      </c>
      <c r="D85" s="5" t="s">
        <v>148</v>
      </c>
      <c r="E85" s="7">
        <v>77.58</v>
      </c>
      <c r="F85" s="8">
        <v>0.208</v>
      </c>
      <c r="G85" s="7">
        <f>VLOOKUP(C85,Provinsi[[#ALL],[Daerah]:[IDI]],4,0)</f>
        <v>6.27</v>
      </c>
      <c r="H85" s="9">
        <f>VLOOKUP(C85,Provinsi[[#ALL],[Daerah]:[IDI]],5,0)</f>
        <v>77.06</v>
      </c>
      <c r="I85" s="9">
        <f>(E85 - MIN(KabKota[IPM])) / (MAX(KabKota[IPM]) - MIN(KabKota[IPM])) * 100</f>
        <v>75.67073171</v>
      </c>
      <c r="J85" s="9">
        <f>(F85 - MIN(KabKota[IKF])) / (MAX(KabKota[IKF]) - MIN(KabKota[IKF])) * 100</f>
        <v>26</v>
      </c>
      <c r="K85" s="9">
        <f>(G85 - MIN(KabKota[TIK])) / (MAX(KabKota[TIK]) - MIN(KabKota[TIK])) * 100</f>
        <v>62.73148148</v>
      </c>
      <c r="L85" s="9">
        <f>(H85 - MIN(KabKota[IDI])) / (MAX(KabKota[IDI]) - MIN(KabKota[IDI])) * 100</f>
        <v>86.34173669</v>
      </c>
      <c r="M85" s="9">
        <f t="shared" si="1"/>
        <v>62.68598747</v>
      </c>
      <c r="N85" s="11">
        <f>_xlfn.RANK.EQ(M85,KabKota[Rata-rata Skor])</f>
        <v>84</v>
      </c>
      <c r="O85" s="6">
        <f>COUNTIFS(KabKota[Regional], B85, KabKota[Rata-rata Skor], "&gt;"&amp;M85) + 1</f>
        <v>17</v>
      </c>
    </row>
    <row r="86" ht="22.5" customHeight="1">
      <c r="A86" s="5">
        <v>369.0</v>
      </c>
      <c r="B86" s="5" t="s">
        <v>77</v>
      </c>
      <c r="C86" s="5" t="s">
        <v>42</v>
      </c>
      <c r="D86" s="5" t="s">
        <v>149</v>
      </c>
      <c r="E86" s="7">
        <v>71.86</v>
      </c>
      <c r="F86" s="8">
        <v>0.273</v>
      </c>
      <c r="G86" s="7">
        <f>VLOOKUP(C86,Provinsi[[#ALL],[Daerah]:[IDI]],4,0)</f>
        <v>6.4</v>
      </c>
      <c r="H86" s="9">
        <f>VLOOKUP(C86,Provinsi[[#ALL],[Daerah]:[IDI]],5,0)</f>
        <v>77.35</v>
      </c>
      <c r="I86" s="9">
        <f>(E86 - MIN(KabKota[IPM])) / (MAX(KabKota[IPM]) - MIN(KabKota[IPM])) * 100</f>
        <v>64.04471545</v>
      </c>
      <c r="J86" s="9">
        <f>(F86 - MIN(KabKota[IKF])) / (MAX(KabKota[IKF]) - MIN(KabKota[IKF])) * 100</f>
        <v>34.125</v>
      </c>
      <c r="K86" s="9">
        <f>(G86 - MIN(KabKota[TIK])) / (MAX(KabKota[TIK]) - MIN(KabKota[TIK])) * 100</f>
        <v>65.74074074</v>
      </c>
      <c r="L86" s="9">
        <f>(H86 - MIN(KabKota[IDI])) / (MAX(KabKota[IDI]) - MIN(KabKota[IDI])) * 100</f>
        <v>86.66666667</v>
      </c>
      <c r="M86" s="9">
        <f t="shared" si="1"/>
        <v>62.64428071</v>
      </c>
      <c r="N86" s="11">
        <f>_xlfn.RANK.EQ(M86,KabKota[Rata-rata Skor])</f>
        <v>85</v>
      </c>
      <c r="O86" s="6">
        <f>COUNTIFS(KabKota[Regional], B86, KabKota[Rata-rata Skor], "&gt;"&amp;M86) + 1</f>
        <v>17</v>
      </c>
    </row>
    <row r="87" ht="22.5" customHeight="1">
      <c r="A87" s="5">
        <v>366.0</v>
      </c>
      <c r="B87" s="5" t="s">
        <v>77</v>
      </c>
      <c r="C87" s="5" t="s">
        <v>42</v>
      </c>
      <c r="D87" s="5" t="s">
        <v>150</v>
      </c>
      <c r="E87" s="7">
        <v>74.53</v>
      </c>
      <c r="F87" s="8">
        <v>0.229</v>
      </c>
      <c r="G87" s="7">
        <f>VLOOKUP(C87,Provinsi[[#ALL],[Daerah]:[IDI]],4,0)</f>
        <v>6.4</v>
      </c>
      <c r="H87" s="9">
        <f>VLOOKUP(C87,Provinsi[[#ALL],[Daerah]:[IDI]],5,0)</f>
        <v>77.35</v>
      </c>
      <c r="I87" s="9">
        <f>(E87 - MIN(KabKota[IPM])) / (MAX(KabKota[IPM]) - MIN(KabKota[IPM])) * 100</f>
        <v>69.47154472</v>
      </c>
      <c r="J87" s="9">
        <f>(F87 - MIN(KabKota[IKF])) / (MAX(KabKota[IKF]) - MIN(KabKota[IKF])) * 100</f>
        <v>28.625</v>
      </c>
      <c r="K87" s="9">
        <f>(G87 - MIN(KabKota[TIK])) / (MAX(KabKota[TIK]) - MIN(KabKota[TIK])) * 100</f>
        <v>65.74074074</v>
      </c>
      <c r="L87" s="9">
        <f>(H87 - MIN(KabKota[IDI])) / (MAX(KabKota[IDI]) - MIN(KabKota[IDI])) * 100</f>
        <v>86.66666667</v>
      </c>
      <c r="M87" s="9">
        <f t="shared" si="1"/>
        <v>62.62598803</v>
      </c>
      <c r="N87" s="11">
        <f>_xlfn.RANK.EQ(M87,KabKota[Rata-rata Skor])</f>
        <v>86</v>
      </c>
      <c r="O87" s="6">
        <f>COUNTIFS(KabKota[Regional], B87, KabKota[Rata-rata Skor], "&gt;"&amp;M87) + 1</f>
        <v>18</v>
      </c>
    </row>
    <row r="88" ht="22.5" customHeight="1">
      <c r="A88" s="5">
        <v>161.0</v>
      </c>
      <c r="B88" s="5" t="s">
        <v>63</v>
      </c>
      <c r="C88" s="5" t="s">
        <v>19</v>
      </c>
      <c r="D88" s="5" t="s">
        <v>151</v>
      </c>
      <c r="E88" s="7">
        <v>74.53</v>
      </c>
      <c r="F88" s="8">
        <v>0.192</v>
      </c>
      <c r="G88" s="7">
        <f>VLOOKUP(C88,Provinsi[[#ALL],[Daerah]:[IDI]],4,0)</f>
        <v>6.33</v>
      </c>
      <c r="H88" s="9">
        <f>VLOOKUP(C88,Provinsi[[#ALL],[Daerah]:[IDI]],5,0)</f>
        <v>82.8</v>
      </c>
      <c r="I88" s="9">
        <f>(E88 - MIN(KabKota[IPM])) / (MAX(KabKota[IPM]) - MIN(KabKota[IPM])) * 100</f>
        <v>69.47154472</v>
      </c>
      <c r="J88" s="9">
        <f>(F88 - MIN(KabKota[IKF])) / (MAX(KabKota[IKF]) - MIN(KabKota[IKF])) * 100</f>
        <v>24</v>
      </c>
      <c r="K88" s="9">
        <f>(G88 - MIN(KabKota[TIK])) / (MAX(KabKota[TIK]) - MIN(KabKota[TIK])) * 100</f>
        <v>64.12037037</v>
      </c>
      <c r="L88" s="9">
        <f>(H88 - MIN(KabKota[IDI])) / (MAX(KabKota[IDI]) - MIN(KabKota[IDI])) * 100</f>
        <v>92.77310924</v>
      </c>
      <c r="M88" s="9">
        <f t="shared" si="1"/>
        <v>62.59125608</v>
      </c>
      <c r="N88" s="11">
        <f>_xlfn.RANK.EQ(M88,KabKota[Rata-rata Skor])</f>
        <v>87</v>
      </c>
      <c r="O88" s="6">
        <f>COUNTIFS(KabKota[Regional], B88, KabKota[Rata-rata Skor], "&gt;"&amp;M88) + 1</f>
        <v>39</v>
      </c>
    </row>
    <row r="89" ht="22.5" customHeight="1">
      <c r="A89" s="5">
        <v>221.0</v>
      </c>
      <c r="B89" s="5" t="s">
        <v>63</v>
      </c>
      <c r="C89" s="5" t="s">
        <v>30</v>
      </c>
      <c r="D89" s="5" t="s">
        <v>152</v>
      </c>
      <c r="E89" s="7">
        <v>77.76</v>
      </c>
      <c r="F89" s="8">
        <v>0.177</v>
      </c>
      <c r="G89" s="7">
        <f>VLOOKUP(C89,Provinsi[[#ALL],[Daerah]:[IDI]],4,0)</f>
        <v>5.98</v>
      </c>
      <c r="H89" s="9">
        <f>VLOOKUP(C89,Provinsi[[#ALL],[Daerah]:[IDI]],5,0)</f>
        <v>85.84</v>
      </c>
      <c r="I89" s="9">
        <f>(E89 - MIN(KabKota[IPM])) / (MAX(KabKota[IPM]) - MIN(KabKota[IPM])) * 100</f>
        <v>76.03658537</v>
      </c>
      <c r="J89" s="9">
        <f>(F89 - MIN(KabKota[IKF])) / (MAX(KabKota[IKF]) - MIN(KabKota[IKF])) * 100</f>
        <v>22.125</v>
      </c>
      <c r="K89" s="9">
        <f>(G89 - MIN(KabKota[TIK])) / (MAX(KabKota[TIK]) - MIN(KabKota[TIK])) * 100</f>
        <v>56.01851852</v>
      </c>
      <c r="L89" s="9">
        <f>(H89 - MIN(KabKota[IDI])) / (MAX(KabKota[IDI]) - MIN(KabKota[IDI])) * 100</f>
        <v>96.17927171</v>
      </c>
      <c r="M89" s="9">
        <f t="shared" si="1"/>
        <v>62.5898439</v>
      </c>
      <c r="N89" s="11">
        <f>_xlfn.RANK.EQ(M89,KabKota[Rata-rata Skor])</f>
        <v>88</v>
      </c>
      <c r="O89" s="6">
        <f>COUNTIFS(KabKota[Regional], B89, KabKota[Rata-rata Skor], "&gt;"&amp;M89) + 1</f>
        <v>40</v>
      </c>
    </row>
    <row r="90" ht="22.5" customHeight="1">
      <c r="A90" s="5">
        <v>217.0</v>
      </c>
      <c r="B90" s="5" t="s">
        <v>63</v>
      </c>
      <c r="C90" s="5" t="s">
        <v>30</v>
      </c>
      <c r="D90" s="5" t="s">
        <v>153</v>
      </c>
      <c r="E90" s="7">
        <v>82.92</v>
      </c>
      <c r="F90" s="8">
        <v>0.092</v>
      </c>
      <c r="G90" s="7">
        <f>VLOOKUP(C90,Provinsi[[#ALL],[Daerah]:[IDI]],4,0)</f>
        <v>5.98</v>
      </c>
      <c r="H90" s="9">
        <f>VLOOKUP(C90,Provinsi[[#ALL],[Daerah]:[IDI]],5,0)</f>
        <v>85.84</v>
      </c>
      <c r="I90" s="9">
        <f>(E90 - MIN(KabKota[IPM])) / (MAX(KabKota[IPM]) - MIN(KabKota[IPM])) * 100</f>
        <v>86.52439024</v>
      </c>
      <c r="J90" s="9">
        <f>(F90 - MIN(KabKota[IKF])) / (MAX(KabKota[IKF]) - MIN(KabKota[IKF])) * 100</f>
        <v>11.5</v>
      </c>
      <c r="K90" s="9">
        <f>(G90 - MIN(KabKota[TIK])) / (MAX(KabKota[TIK]) - MIN(KabKota[TIK])) * 100</f>
        <v>56.01851852</v>
      </c>
      <c r="L90" s="9">
        <f>(H90 - MIN(KabKota[IDI])) / (MAX(KabKota[IDI]) - MIN(KabKota[IDI])) * 100</f>
        <v>96.17927171</v>
      </c>
      <c r="M90" s="9">
        <f t="shared" si="1"/>
        <v>62.55554512</v>
      </c>
      <c r="N90" s="11">
        <f>_xlfn.RANK.EQ(M90,KabKota[Rata-rata Skor])</f>
        <v>89</v>
      </c>
      <c r="O90" s="6">
        <f>COUNTIFS(KabKota[Regional], B90, KabKota[Rata-rata Skor], "&gt;"&amp;M90) + 1</f>
        <v>41</v>
      </c>
    </row>
    <row r="91" ht="22.5" customHeight="1">
      <c r="A91" s="5">
        <v>115.0</v>
      </c>
      <c r="B91" s="5" t="s">
        <v>70</v>
      </c>
      <c r="C91" s="5" t="s">
        <v>29</v>
      </c>
      <c r="D91" s="5" t="s">
        <v>154</v>
      </c>
      <c r="E91" s="7">
        <v>79.17</v>
      </c>
      <c r="F91" s="8">
        <v>0.177</v>
      </c>
      <c r="G91" s="7">
        <f>VLOOKUP(C91,Provinsi[[#ALL],[Daerah]:[IDI]],4,0)</f>
        <v>5.97</v>
      </c>
      <c r="H91" s="9">
        <f>VLOOKUP(C91,Provinsi[[#ALL],[Daerah]:[IDI]],5,0)</f>
        <v>82.71</v>
      </c>
      <c r="I91" s="9">
        <f>(E91 - MIN(KabKota[IPM])) / (MAX(KabKota[IPM]) - MIN(KabKota[IPM])) * 100</f>
        <v>78.90243902</v>
      </c>
      <c r="J91" s="9">
        <f>(F91 - MIN(KabKota[IKF])) / (MAX(KabKota[IKF]) - MIN(KabKota[IKF])) * 100</f>
        <v>22.125</v>
      </c>
      <c r="K91" s="9">
        <f>(G91 - MIN(KabKota[TIK])) / (MAX(KabKota[TIK]) - MIN(KabKota[TIK])) * 100</f>
        <v>55.78703704</v>
      </c>
      <c r="L91" s="9">
        <f>(H91 - MIN(KabKota[IDI])) / (MAX(KabKota[IDI]) - MIN(KabKota[IDI])) * 100</f>
        <v>92.67226891</v>
      </c>
      <c r="M91" s="9">
        <f t="shared" si="1"/>
        <v>62.37168624</v>
      </c>
      <c r="N91" s="11">
        <f>_xlfn.RANK.EQ(M91,KabKota[Rata-rata Skor])</f>
        <v>90</v>
      </c>
      <c r="O91" s="6">
        <f>COUNTIFS(KabKota[Regional], B91, KabKota[Rata-rata Skor], "&gt;"&amp;M91) + 1</f>
        <v>18</v>
      </c>
    </row>
    <row r="92" ht="22.5" customHeight="1">
      <c r="A92" s="5">
        <v>206.0</v>
      </c>
      <c r="B92" s="5" t="s">
        <v>63</v>
      </c>
      <c r="C92" s="5" t="s">
        <v>30</v>
      </c>
      <c r="D92" s="5" t="s">
        <v>155</v>
      </c>
      <c r="E92" s="7">
        <v>77.94</v>
      </c>
      <c r="F92" s="8">
        <v>0.164</v>
      </c>
      <c r="G92" s="7">
        <f>VLOOKUP(C92,Provinsi[[#ALL],[Daerah]:[IDI]],4,0)</f>
        <v>5.98</v>
      </c>
      <c r="H92" s="9">
        <f>VLOOKUP(C92,Provinsi[[#ALL],[Daerah]:[IDI]],5,0)</f>
        <v>85.84</v>
      </c>
      <c r="I92" s="9">
        <f>(E92 - MIN(KabKota[IPM])) / (MAX(KabKota[IPM]) - MIN(KabKota[IPM])) * 100</f>
        <v>76.40243902</v>
      </c>
      <c r="J92" s="9">
        <f>(F92 - MIN(KabKota[IKF])) / (MAX(KabKota[IKF]) - MIN(KabKota[IKF])) * 100</f>
        <v>20.5</v>
      </c>
      <c r="K92" s="9">
        <f>(G92 - MIN(KabKota[TIK])) / (MAX(KabKota[TIK]) - MIN(KabKota[TIK])) * 100</f>
        <v>56.01851852</v>
      </c>
      <c r="L92" s="9">
        <f>(H92 - MIN(KabKota[IDI])) / (MAX(KabKota[IDI]) - MIN(KabKota[IDI])) * 100</f>
        <v>96.17927171</v>
      </c>
      <c r="M92" s="9">
        <f t="shared" si="1"/>
        <v>62.27505731</v>
      </c>
      <c r="N92" s="11">
        <f>_xlfn.RANK.EQ(M92,KabKota[Rata-rata Skor])</f>
        <v>91</v>
      </c>
      <c r="O92" s="6">
        <f>COUNTIFS(KabKota[Regional], B92, KabKota[Rata-rata Skor], "&gt;"&amp;M92) + 1</f>
        <v>42</v>
      </c>
    </row>
    <row r="93" ht="22.5" customHeight="1">
      <c r="A93" s="5">
        <v>19.0</v>
      </c>
      <c r="B93" s="5" t="s">
        <v>70</v>
      </c>
      <c r="C93" s="5" t="s">
        <v>36</v>
      </c>
      <c r="D93" s="5" t="s">
        <v>156</v>
      </c>
      <c r="E93" s="7">
        <v>89.55</v>
      </c>
      <c r="F93" s="8">
        <v>0.067</v>
      </c>
      <c r="G93" s="7">
        <f>VLOOKUP(C93,Provinsi[[#ALL],[Daerah]:[IDI]],4,0)</f>
        <v>5.97</v>
      </c>
      <c r="H93" s="9">
        <f>VLOOKUP(C93,Provinsi[[#ALL],[Daerah]:[IDI]],5,0)</f>
        <v>75.8</v>
      </c>
      <c r="I93" s="9">
        <f>(E93 - MIN(KabKota[IPM])) / (MAX(KabKota[IPM]) - MIN(KabKota[IPM])) * 100</f>
        <v>100</v>
      </c>
      <c r="J93" s="9">
        <f>(F93 - MIN(KabKota[IKF])) / (MAX(KabKota[IKF]) - MIN(KabKota[IKF])) * 100</f>
        <v>8.375</v>
      </c>
      <c r="K93" s="9">
        <f>(G93 - MIN(KabKota[TIK])) / (MAX(KabKota[TIK]) - MIN(KabKota[TIK])) * 100</f>
        <v>55.78703704</v>
      </c>
      <c r="L93" s="9">
        <f>(H93 - MIN(KabKota[IDI])) / (MAX(KabKota[IDI]) - MIN(KabKota[IDI])) * 100</f>
        <v>84.92997199</v>
      </c>
      <c r="M93" s="9">
        <f t="shared" si="1"/>
        <v>62.27300226</v>
      </c>
      <c r="N93" s="11">
        <f>_xlfn.RANK.EQ(M93,KabKota[Rata-rata Skor])</f>
        <v>92</v>
      </c>
      <c r="O93" s="6">
        <f>COUNTIFS(KabKota[Regional], B93, KabKota[Rata-rata Skor], "&gt;"&amp;M93) + 1</f>
        <v>19</v>
      </c>
    </row>
    <row r="94" ht="22.5" customHeight="1">
      <c r="A94" s="5">
        <v>250.0</v>
      </c>
      <c r="B94" s="5" t="s">
        <v>63</v>
      </c>
      <c r="C94" s="5" t="s">
        <v>23</v>
      </c>
      <c r="D94" s="5" t="s">
        <v>157</v>
      </c>
      <c r="E94" s="7">
        <v>73.15</v>
      </c>
      <c r="F94" s="8">
        <v>0.234</v>
      </c>
      <c r="G94" s="7">
        <f>VLOOKUP(C94,Provinsi[[#ALL],[Daerah]:[IDI]],4,0)</f>
        <v>6.07</v>
      </c>
      <c r="H94" s="9">
        <f>VLOOKUP(C94,Provinsi[[#ALL],[Daerah]:[IDI]],5,0)</f>
        <v>84.17</v>
      </c>
      <c r="I94" s="9">
        <f>(E94 - MIN(KabKota[IPM])) / (MAX(KabKota[IPM]) - MIN(KabKota[IPM])) * 100</f>
        <v>66.66666667</v>
      </c>
      <c r="J94" s="9">
        <f>(F94 - MIN(KabKota[IKF])) / (MAX(KabKota[IKF]) - MIN(KabKota[IKF])) * 100</f>
        <v>29.25</v>
      </c>
      <c r="K94" s="9">
        <f>(G94 - MIN(KabKota[TIK])) / (MAX(KabKota[TIK]) - MIN(KabKota[TIK])) * 100</f>
        <v>58.10185185</v>
      </c>
      <c r="L94" s="9">
        <f>(H94 - MIN(KabKota[IDI])) / (MAX(KabKota[IDI]) - MIN(KabKota[IDI])) * 100</f>
        <v>94.30812325</v>
      </c>
      <c r="M94" s="9">
        <f t="shared" si="1"/>
        <v>62.08166044</v>
      </c>
      <c r="N94" s="11">
        <f>_xlfn.RANK.EQ(M94,KabKota[Rata-rata Skor])</f>
        <v>93</v>
      </c>
      <c r="O94" s="6">
        <f>COUNTIFS(KabKota[Regional], B94, KabKota[Rata-rata Skor], "&gt;"&amp;M94) + 1</f>
        <v>43</v>
      </c>
    </row>
    <row r="95" ht="22.5" customHeight="1">
      <c r="A95" s="5">
        <v>280.0</v>
      </c>
      <c r="B95" s="5" t="s">
        <v>60</v>
      </c>
      <c r="C95" s="5" t="s">
        <v>18</v>
      </c>
      <c r="D95" s="5" t="s">
        <v>158</v>
      </c>
      <c r="E95" s="7">
        <v>71.89</v>
      </c>
      <c r="F95" s="8">
        <v>0.073</v>
      </c>
      <c r="G95" s="7">
        <f>VLOOKUP(C95,Provinsi[[#ALL],[Daerah]:[IDI]],4,0)</f>
        <v>6.82</v>
      </c>
      <c r="H95" s="9">
        <f>VLOOKUP(C95,Provinsi[[#ALL],[Daerah]:[IDI]],5,0)</f>
        <v>88.34</v>
      </c>
      <c r="I95" s="9">
        <f>(E95 - MIN(KabKota[IPM])) / (MAX(KabKota[IPM]) - MIN(KabKota[IPM])) * 100</f>
        <v>64.10569106</v>
      </c>
      <c r="J95" s="9">
        <f>(F95 - MIN(KabKota[IKF])) / (MAX(KabKota[IKF]) - MIN(KabKota[IKF])) * 100</f>
        <v>9.125</v>
      </c>
      <c r="K95" s="9">
        <f>(G95 - MIN(KabKota[TIK])) / (MAX(KabKota[TIK]) - MIN(KabKota[TIK])) * 100</f>
        <v>75.46296296</v>
      </c>
      <c r="L95" s="9">
        <f>(H95 - MIN(KabKota[IDI])) / (MAX(KabKota[IDI]) - MIN(KabKota[IDI])) * 100</f>
        <v>98.98039216</v>
      </c>
      <c r="M95" s="9">
        <f t="shared" si="1"/>
        <v>61.91851154</v>
      </c>
      <c r="N95" s="11">
        <f>_xlfn.RANK.EQ(M95,KabKota[Rata-rata Skor])</f>
        <v>94</v>
      </c>
      <c r="O95" s="6">
        <f>COUNTIFS(KabKota[Regional], B95, KabKota[Rata-rata Skor], "&gt;"&amp;M95) + 1</f>
        <v>9</v>
      </c>
    </row>
    <row r="96" ht="22.5" customHeight="1">
      <c r="A96" s="5">
        <v>439.0</v>
      </c>
      <c r="B96" s="5" t="s">
        <v>75</v>
      </c>
      <c r="C96" s="5" t="s">
        <v>46</v>
      </c>
      <c r="D96" s="5" t="s">
        <v>159</v>
      </c>
      <c r="E96" s="7">
        <v>80.29</v>
      </c>
      <c r="F96" s="8">
        <v>0.175</v>
      </c>
      <c r="G96" s="7">
        <f>VLOOKUP(C96,Provinsi[[#ALL],[Daerah]:[IDI]],4,0)</f>
        <v>6.03</v>
      </c>
      <c r="H96" s="9">
        <f>VLOOKUP(C96,Provinsi[[#ALL],[Daerah]:[IDI]],5,0)</f>
        <v>78.04</v>
      </c>
      <c r="I96" s="9">
        <f>(E96 - MIN(KabKota[IPM])) / (MAX(KabKota[IPM]) - MIN(KabKota[IPM])) * 100</f>
        <v>81.17886179</v>
      </c>
      <c r="J96" s="9">
        <f>(F96 - MIN(KabKota[IKF])) / (MAX(KabKota[IKF]) - MIN(KabKota[IKF])) * 100</f>
        <v>21.875</v>
      </c>
      <c r="K96" s="9">
        <f>(G96 - MIN(KabKota[TIK])) / (MAX(KabKota[TIK]) - MIN(KabKota[TIK])) * 100</f>
        <v>57.17592593</v>
      </c>
      <c r="L96" s="9">
        <f>(H96 - MIN(KabKota[IDI])) / (MAX(KabKota[IDI]) - MIN(KabKota[IDI])) * 100</f>
        <v>87.43977591</v>
      </c>
      <c r="M96" s="9">
        <f t="shared" si="1"/>
        <v>61.91739091</v>
      </c>
      <c r="N96" s="11">
        <f>_xlfn.RANK.EQ(M96,KabKota[Rata-rata Skor])</f>
        <v>95</v>
      </c>
      <c r="O96" s="6">
        <f>COUNTIFS(KabKota[Regional], B96, KabKota[Rata-rata Skor], "&gt;"&amp;M96) + 1</f>
        <v>6</v>
      </c>
    </row>
    <row r="97" ht="22.5" customHeight="1">
      <c r="A97" s="5">
        <v>149.0</v>
      </c>
      <c r="B97" s="5" t="s">
        <v>70</v>
      </c>
      <c r="C97" s="5" t="s">
        <v>24</v>
      </c>
      <c r="D97" s="5" t="s">
        <v>160</v>
      </c>
      <c r="E97" s="7">
        <v>76.08</v>
      </c>
      <c r="F97" s="8">
        <v>0.074</v>
      </c>
      <c r="G97" s="7">
        <f>VLOOKUP(C97,Provinsi[[#ALL],[Daerah]:[IDI]],4,0)</f>
        <v>6.8</v>
      </c>
      <c r="H97" s="9">
        <f>VLOOKUP(C97,Provinsi[[#ALL],[Daerah]:[IDI]],5,0)</f>
        <v>80.83</v>
      </c>
      <c r="I97" s="9">
        <f>(E97 - MIN(KabKota[IPM])) / (MAX(KabKota[IPM]) - MIN(KabKota[IPM])) * 100</f>
        <v>72.62195122</v>
      </c>
      <c r="J97" s="9">
        <f>(F97 - MIN(KabKota[IKF])) / (MAX(KabKota[IKF]) - MIN(KabKota[IKF])) * 100</f>
        <v>9.25</v>
      </c>
      <c r="K97" s="9">
        <f>(G97 - MIN(KabKota[TIK])) / (MAX(KabKota[TIK]) - MIN(KabKota[TIK])) * 100</f>
        <v>75</v>
      </c>
      <c r="L97" s="9">
        <f>(H97 - MIN(KabKota[IDI])) / (MAX(KabKota[IDI]) - MIN(KabKota[IDI])) * 100</f>
        <v>90.56582633</v>
      </c>
      <c r="M97" s="9">
        <f t="shared" si="1"/>
        <v>61.85944439</v>
      </c>
      <c r="N97" s="11">
        <f>_xlfn.RANK.EQ(M97,KabKota[Rata-rata Skor])</f>
        <v>96</v>
      </c>
      <c r="O97" s="6">
        <f>COUNTIFS(KabKota[Regional], B97, KabKota[Rata-rata Skor], "&gt;"&amp;M97) + 1</f>
        <v>20</v>
      </c>
    </row>
    <row r="98" ht="22.5" customHeight="1">
      <c r="A98" s="5">
        <v>74.0</v>
      </c>
      <c r="B98" s="5" t="s">
        <v>70</v>
      </c>
      <c r="C98" s="5" t="s">
        <v>34</v>
      </c>
      <c r="D98" s="5" t="s">
        <v>161</v>
      </c>
      <c r="E98" s="7">
        <v>81.62</v>
      </c>
      <c r="F98" s="8">
        <v>0.099</v>
      </c>
      <c r="G98" s="7">
        <f>VLOOKUP(C98,Provinsi[[#ALL],[Daerah]:[IDI]],4,0)</f>
        <v>6.27</v>
      </c>
      <c r="H98" s="9">
        <f>VLOOKUP(C98,Provinsi[[#ALL],[Daerah]:[IDI]],5,0)</f>
        <v>78.83</v>
      </c>
      <c r="I98" s="9">
        <f>(E98 - MIN(KabKota[IPM])) / (MAX(KabKota[IPM]) - MIN(KabKota[IPM])) * 100</f>
        <v>83.88211382</v>
      </c>
      <c r="J98" s="9">
        <f>(F98 - MIN(KabKota[IKF])) / (MAX(KabKota[IKF]) - MIN(KabKota[IKF])) * 100</f>
        <v>12.375</v>
      </c>
      <c r="K98" s="9">
        <f>(G98 - MIN(KabKota[TIK])) / (MAX(KabKota[TIK]) - MIN(KabKota[TIK])) * 100</f>
        <v>62.73148148</v>
      </c>
      <c r="L98" s="9">
        <f>(H98 - MIN(KabKota[IDI])) / (MAX(KabKota[IDI]) - MIN(KabKota[IDI])) * 100</f>
        <v>88.32492997</v>
      </c>
      <c r="M98" s="9">
        <f t="shared" si="1"/>
        <v>61.82838132</v>
      </c>
      <c r="N98" s="11">
        <f>_xlfn.RANK.EQ(M98,KabKota[Rata-rata Skor])</f>
        <v>97</v>
      </c>
      <c r="O98" s="6">
        <f>COUNTIFS(KabKota[Regional], B98, KabKota[Rata-rata Skor], "&gt;"&amp;M98) + 1</f>
        <v>21</v>
      </c>
    </row>
    <row r="99" ht="22.5" customHeight="1">
      <c r="A99" s="5">
        <v>408.0</v>
      </c>
      <c r="B99" s="5" t="s">
        <v>75</v>
      </c>
      <c r="C99" s="5" t="s">
        <v>32</v>
      </c>
      <c r="D99" s="5" t="s">
        <v>162</v>
      </c>
      <c r="E99" s="7">
        <v>74.62</v>
      </c>
      <c r="F99" s="8">
        <v>0.222</v>
      </c>
      <c r="G99" s="7">
        <f>VLOOKUP(C99,Provinsi[[#ALL],[Daerah]:[IDI]],4,0)</f>
        <v>6.21</v>
      </c>
      <c r="H99" s="9">
        <f>VLOOKUP(C99,Provinsi[[#ALL],[Daerah]:[IDI]],5,0)</f>
        <v>78.93</v>
      </c>
      <c r="I99" s="9">
        <f>(E99 - MIN(KabKota[IPM])) / (MAX(KabKota[IPM]) - MIN(KabKota[IPM])) * 100</f>
        <v>69.65447154</v>
      </c>
      <c r="J99" s="9">
        <f>(F99 - MIN(KabKota[IKF])) / (MAX(KabKota[IKF]) - MIN(KabKota[IKF])) * 100</f>
        <v>27.75</v>
      </c>
      <c r="K99" s="9">
        <f>(G99 - MIN(KabKota[TIK])) / (MAX(KabKota[TIK]) - MIN(KabKota[TIK])) * 100</f>
        <v>61.34259259</v>
      </c>
      <c r="L99" s="9">
        <f>(H99 - MIN(KabKota[IDI])) / (MAX(KabKota[IDI]) - MIN(KabKota[IDI])) * 100</f>
        <v>88.43697479</v>
      </c>
      <c r="M99" s="9">
        <f t="shared" si="1"/>
        <v>61.79600973</v>
      </c>
      <c r="N99" s="11">
        <f>_xlfn.RANK.EQ(M99,KabKota[Rata-rata Skor])</f>
        <v>98</v>
      </c>
      <c r="O99" s="6">
        <f>COUNTIFS(KabKota[Regional], B99, KabKota[Rata-rata Skor], "&gt;"&amp;M99) + 1</f>
        <v>7</v>
      </c>
    </row>
    <row r="100" ht="22.5" customHeight="1">
      <c r="A100" s="5">
        <v>51.0</v>
      </c>
      <c r="B100" s="5" t="s">
        <v>70</v>
      </c>
      <c r="C100" s="5" t="s">
        <v>21</v>
      </c>
      <c r="D100" s="5" t="s">
        <v>163</v>
      </c>
      <c r="E100" s="7">
        <v>78.11</v>
      </c>
      <c r="F100" s="8">
        <v>0.155</v>
      </c>
      <c r="G100" s="7">
        <f>VLOOKUP(C100,Provinsi[[#ALL],[Daerah]:[IDI]],4,0)</f>
        <v>6.2</v>
      </c>
      <c r="H100" s="9">
        <f>VLOOKUP(C100,Provinsi[[#ALL],[Daerah]:[IDI]],5,0)</f>
        <v>80.19</v>
      </c>
      <c r="I100" s="9">
        <f>(E100 - MIN(KabKota[IPM])) / (MAX(KabKota[IPM]) - MIN(KabKota[IPM])) * 100</f>
        <v>76.74796748</v>
      </c>
      <c r="J100" s="9">
        <f>(F100 - MIN(KabKota[IKF])) / (MAX(KabKota[IKF]) - MIN(KabKota[IKF])) * 100</f>
        <v>19.375</v>
      </c>
      <c r="K100" s="9">
        <f>(G100 - MIN(KabKota[TIK])) / (MAX(KabKota[TIK]) - MIN(KabKota[TIK])) * 100</f>
        <v>61.11111111</v>
      </c>
      <c r="L100" s="9">
        <f>(H100 - MIN(KabKota[IDI])) / (MAX(KabKota[IDI]) - MIN(KabKota[IDI])) * 100</f>
        <v>89.8487395</v>
      </c>
      <c r="M100" s="9">
        <f t="shared" si="1"/>
        <v>61.77070452</v>
      </c>
      <c r="N100" s="11">
        <f>_xlfn.RANK.EQ(M100,KabKota[Rata-rata Skor])</f>
        <v>99</v>
      </c>
      <c r="O100" s="6">
        <f>COUNTIFS(KabKota[Regional], B100, KabKota[Rata-rata Skor], "&gt;"&amp;M100) + 1</f>
        <v>22</v>
      </c>
    </row>
    <row r="101" ht="22.5" customHeight="1">
      <c r="A101" s="5">
        <v>331.0</v>
      </c>
      <c r="B101" s="5" t="s">
        <v>77</v>
      </c>
      <c r="C101" s="5" t="s">
        <v>40</v>
      </c>
      <c r="D101" s="5" t="s">
        <v>164</v>
      </c>
      <c r="E101" s="7">
        <v>73.47</v>
      </c>
      <c r="F101" s="8">
        <v>0.278</v>
      </c>
      <c r="G101" s="7">
        <f>VLOOKUP(C101,Provinsi[[#ALL],[Daerah]:[IDI]],4,0)</f>
        <v>6.02</v>
      </c>
      <c r="H101" s="9">
        <f>VLOOKUP(C101,Provinsi[[#ALL],[Daerah]:[IDI]],5,0)</f>
        <v>78.47</v>
      </c>
      <c r="I101" s="9">
        <f>(E101 - MIN(KabKota[IPM])) / (MAX(KabKota[IPM]) - MIN(KabKota[IPM])) * 100</f>
        <v>67.31707317</v>
      </c>
      <c r="J101" s="9">
        <f>(F101 - MIN(KabKota[IKF])) / (MAX(KabKota[IKF]) - MIN(KabKota[IKF])) * 100</f>
        <v>34.75</v>
      </c>
      <c r="K101" s="9">
        <f>(G101 - MIN(KabKota[TIK])) / (MAX(KabKota[TIK]) - MIN(KabKota[TIK])) * 100</f>
        <v>56.94444444</v>
      </c>
      <c r="L101" s="9">
        <f>(H101 - MIN(KabKota[IDI])) / (MAX(KabKota[IDI]) - MIN(KabKota[IDI])) * 100</f>
        <v>87.92156863</v>
      </c>
      <c r="M101" s="9">
        <f t="shared" si="1"/>
        <v>61.73327156</v>
      </c>
      <c r="N101" s="11">
        <f>_xlfn.RANK.EQ(M101,KabKota[Rata-rata Skor])</f>
        <v>100</v>
      </c>
      <c r="O101" s="6">
        <f>COUNTIFS(KabKota[Regional], B101, KabKota[Rata-rata Skor], "&gt;"&amp;M101) + 1</f>
        <v>19</v>
      </c>
    </row>
    <row r="102" ht="22.5" customHeight="1">
      <c r="A102" s="5">
        <v>272.0</v>
      </c>
      <c r="B102" s="5" t="s">
        <v>63</v>
      </c>
      <c r="C102" s="5" t="s">
        <v>22</v>
      </c>
      <c r="D102" s="5" t="s">
        <v>165</v>
      </c>
      <c r="E102" s="7">
        <v>77.5</v>
      </c>
      <c r="F102" s="8">
        <v>0.138</v>
      </c>
      <c r="G102" s="7">
        <f>VLOOKUP(C102,Provinsi[[#ALL],[Daerah]:[IDI]],4,0)</f>
        <v>6.46</v>
      </c>
      <c r="H102" s="9">
        <f>VLOOKUP(C102,Provinsi[[#ALL],[Daerah]:[IDI]],5,0)</f>
        <v>76.87</v>
      </c>
      <c r="I102" s="9">
        <f>(E102 - MIN(KabKota[IPM])) / (MAX(KabKota[IPM]) - MIN(KabKota[IPM])) * 100</f>
        <v>75.50813008</v>
      </c>
      <c r="J102" s="9">
        <f>(F102 - MIN(KabKota[IKF])) / (MAX(KabKota[IKF]) - MIN(KabKota[IKF])) * 100</f>
        <v>17.25</v>
      </c>
      <c r="K102" s="9">
        <f>(G102 - MIN(KabKota[TIK])) / (MAX(KabKota[TIK]) - MIN(KabKota[TIK])) * 100</f>
        <v>67.12962963</v>
      </c>
      <c r="L102" s="9">
        <f>(H102 - MIN(KabKota[IDI])) / (MAX(KabKota[IDI]) - MIN(KabKota[IDI])) * 100</f>
        <v>86.12885154</v>
      </c>
      <c r="M102" s="9">
        <f t="shared" si="1"/>
        <v>61.50415281</v>
      </c>
      <c r="N102" s="11">
        <f>_xlfn.RANK.EQ(M102,KabKota[Rata-rata Skor])</f>
        <v>101</v>
      </c>
      <c r="O102" s="6">
        <f>COUNTIFS(KabKota[Regional], B102, KabKota[Rata-rata Skor], "&gt;"&amp;M102) + 1</f>
        <v>44</v>
      </c>
    </row>
    <row r="103" ht="22.5" customHeight="1">
      <c r="A103" s="5">
        <v>180.0</v>
      </c>
      <c r="B103" s="5" t="s">
        <v>63</v>
      </c>
      <c r="C103" s="5" t="s">
        <v>19</v>
      </c>
      <c r="D103" s="5" t="s">
        <v>166</v>
      </c>
      <c r="E103" s="7">
        <v>78.23</v>
      </c>
      <c r="F103" s="8">
        <v>0.097</v>
      </c>
      <c r="G103" s="7">
        <f>VLOOKUP(C103,Provinsi[[#ALL],[Daerah]:[IDI]],4,0)</f>
        <v>6.33</v>
      </c>
      <c r="H103" s="9">
        <f>VLOOKUP(C103,Provinsi[[#ALL],[Daerah]:[IDI]],5,0)</f>
        <v>82.8</v>
      </c>
      <c r="I103" s="9">
        <f>(E103 - MIN(KabKota[IPM])) / (MAX(KabKota[IPM]) - MIN(KabKota[IPM])) * 100</f>
        <v>76.99186992</v>
      </c>
      <c r="J103" s="9">
        <f>(F103 - MIN(KabKota[IKF])) / (MAX(KabKota[IKF]) - MIN(KabKota[IKF])) * 100</f>
        <v>12.125</v>
      </c>
      <c r="K103" s="9">
        <f>(G103 - MIN(KabKota[TIK])) / (MAX(KabKota[TIK]) - MIN(KabKota[TIK])) * 100</f>
        <v>64.12037037</v>
      </c>
      <c r="L103" s="9">
        <f>(H103 - MIN(KabKota[IDI])) / (MAX(KabKota[IDI]) - MIN(KabKota[IDI])) * 100</f>
        <v>92.77310924</v>
      </c>
      <c r="M103" s="9">
        <f t="shared" si="1"/>
        <v>61.50258738</v>
      </c>
      <c r="N103" s="11">
        <f>_xlfn.RANK.EQ(M103,KabKota[Rata-rata Skor])</f>
        <v>102</v>
      </c>
      <c r="O103" s="6">
        <f>COUNTIFS(KabKota[Regional], B103, KabKota[Rata-rata Skor], "&gt;"&amp;M103) + 1</f>
        <v>45</v>
      </c>
    </row>
    <row r="104" ht="22.5" customHeight="1">
      <c r="A104" s="5">
        <v>147.0</v>
      </c>
      <c r="B104" s="5" t="s">
        <v>70</v>
      </c>
      <c r="C104" s="5" t="s">
        <v>44</v>
      </c>
      <c r="D104" s="5" t="s">
        <v>167</v>
      </c>
      <c r="E104" s="7">
        <v>81.64</v>
      </c>
      <c r="F104" s="8">
        <v>0.098</v>
      </c>
      <c r="G104" s="7">
        <f>VLOOKUP(C104,Provinsi[[#ALL],[Daerah]:[IDI]],4,0)</f>
        <v>6.06</v>
      </c>
      <c r="H104" s="9">
        <f>VLOOKUP(C104,Provinsi[[#ALL],[Daerah]:[IDI]],5,0)</f>
        <v>81.91</v>
      </c>
      <c r="I104" s="9">
        <f>(E104 - MIN(KabKota[IPM])) / (MAX(KabKota[IPM]) - MIN(KabKota[IPM])) * 100</f>
        <v>83.92276423</v>
      </c>
      <c r="J104" s="9">
        <f>(F104 - MIN(KabKota[IKF])) / (MAX(KabKota[IKF]) - MIN(KabKota[IKF])) * 100</f>
        <v>12.25</v>
      </c>
      <c r="K104" s="9">
        <f>(G104 - MIN(KabKota[TIK])) / (MAX(KabKota[TIK]) - MIN(KabKota[TIK])) * 100</f>
        <v>57.87037037</v>
      </c>
      <c r="L104" s="9">
        <f>(H104 - MIN(KabKota[IDI])) / (MAX(KabKota[IDI]) - MIN(KabKota[IDI])) * 100</f>
        <v>91.77591036</v>
      </c>
      <c r="M104" s="9">
        <f t="shared" si="1"/>
        <v>61.45476124</v>
      </c>
      <c r="N104" s="11">
        <f>_xlfn.RANK.EQ(M104,KabKota[Rata-rata Skor])</f>
        <v>103</v>
      </c>
      <c r="O104" s="6">
        <f>COUNTIFS(KabKota[Regional], B104, KabKota[Rata-rata Skor], "&gt;"&amp;M104) + 1</f>
        <v>23</v>
      </c>
    </row>
    <row r="105" ht="22.5" customHeight="1">
      <c r="A105" s="5">
        <v>314.0</v>
      </c>
      <c r="B105" s="5" t="s">
        <v>60</v>
      </c>
      <c r="C105" s="5" t="s">
        <v>52</v>
      </c>
      <c r="D105" s="5" t="s">
        <v>168</v>
      </c>
      <c r="E105" s="7">
        <v>83.65</v>
      </c>
      <c r="F105" s="8">
        <v>0.216</v>
      </c>
      <c r="G105" s="7">
        <f>VLOOKUP(C105,Provinsi[[#ALL],[Daerah]:[IDI]],4,0)</f>
        <v>5.36</v>
      </c>
      <c r="H105" s="9">
        <f>VLOOKUP(C105,Provinsi[[#ALL],[Daerah]:[IDI]],5,0)</f>
        <v>79.47</v>
      </c>
      <c r="I105" s="9">
        <f>(E105 - MIN(KabKota[IPM])) / (MAX(KabKota[IPM]) - MIN(KabKota[IPM])) * 100</f>
        <v>88.00813008</v>
      </c>
      <c r="J105" s="9">
        <f>(F105 - MIN(KabKota[IKF])) / (MAX(KabKota[IKF]) - MIN(KabKota[IKF])) * 100</f>
        <v>27</v>
      </c>
      <c r="K105" s="9">
        <f>(G105 - MIN(KabKota[TIK])) / (MAX(KabKota[TIK]) - MIN(KabKota[TIK])) * 100</f>
        <v>41.66666667</v>
      </c>
      <c r="L105" s="9">
        <f>(H105 - MIN(KabKota[IDI])) / (MAX(KabKota[IDI]) - MIN(KabKota[IDI])) * 100</f>
        <v>89.04201681</v>
      </c>
      <c r="M105" s="9">
        <f t="shared" si="1"/>
        <v>61.42920339</v>
      </c>
      <c r="N105" s="11">
        <f>_xlfn.RANK.EQ(M105,KabKota[Rata-rata Skor])</f>
        <v>104</v>
      </c>
      <c r="O105" s="6">
        <f>COUNTIFS(KabKota[Regional], B105, KabKota[Rata-rata Skor], "&gt;"&amp;M105) + 1</f>
        <v>10</v>
      </c>
    </row>
    <row r="106" ht="22.5" customHeight="1">
      <c r="A106" s="5">
        <v>261.0</v>
      </c>
      <c r="B106" s="5" t="s">
        <v>63</v>
      </c>
      <c r="C106" s="5" t="s">
        <v>23</v>
      </c>
      <c r="D106" s="5" t="s">
        <v>169</v>
      </c>
      <c r="E106" s="7">
        <v>79.52</v>
      </c>
      <c r="F106" s="8">
        <v>0.109</v>
      </c>
      <c r="G106" s="7">
        <f>VLOOKUP(C106,Provinsi[[#ALL],[Daerah]:[IDI]],4,0)</f>
        <v>6.07</v>
      </c>
      <c r="H106" s="9">
        <f>VLOOKUP(C106,Provinsi[[#ALL],[Daerah]:[IDI]],5,0)</f>
        <v>84.17</v>
      </c>
      <c r="I106" s="9">
        <f>(E106 - MIN(KabKota[IPM])) / (MAX(KabKota[IPM]) - MIN(KabKota[IPM])) * 100</f>
        <v>79.61382114</v>
      </c>
      <c r="J106" s="9">
        <f>(F106 - MIN(KabKota[IKF])) / (MAX(KabKota[IKF]) - MIN(KabKota[IKF])) * 100</f>
        <v>13.625</v>
      </c>
      <c r="K106" s="9">
        <f>(G106 - MIN(KabKota[TIK])) / (MAX(KabKota[TIK]) - MIN(KabKota[TIK])) * 100</f>
        <v>58.10185185</v>
      </c>
      <c r="L106" s="9">
        <f>(H106 - MIN(KabKota[IDI])) / (MAX(KabKota[IDI]) - MIN(KabKota[IDI])) * 100</f>
        <v>94.30812325</v>
      </c>
      <c r="M106" s="9">
        <f t="shared" si="1"/>
        <v>61.41219906</v>
      </c>
      <c r="N106" s="11">
        <f>_xlfn.RANK.EQ(M106,KabKota[Rata-rata Skor])</f>
        <v>105</v>
      </c>
      <c r="O106" s="6">
        <f>COUNTIFS(KabKota[Regional], B106, KabKota[Rata-rata Skor], "&gt;"&amp;M106) + 1</f>
        <v>46</v>
      </c>
    </row>
    <row r="107" ht="22.5" customHeight="1">
      <c r="A107" s="5">
        <v>150.0</v>
      </c>
      <c r="B107" s="5" t="s">
        <v>70</v>
      </c>
      <c r="C107" s="5" t="s">
        <v>24</v>
      </c>
      <c r="D107" s="5" t="s">
        <v>170</v>
      </c>
      <c r="E107" s="7">
        <v>78.94</v>
      </c>
      <c r="F107" s="8">
        <v>0.013</v>
      </c>
      <c r="G107" s="7">
        <f>VLOOKUP(C107,Provinsi[[#ALL],[Daerah]:[IDI]],4,0)</f>
        <v>6.8</v>
      </c>
      <c r="H107" s="9">
        <f>VLOOKUP(C107,Provinsi[[#ALL],[Daerah]:[IDI]],5,0)</f>
        <v>80.83</v>
      </c>
      <c r="I107" s="9">
        <f>(E107 - MIN(KabKota[IPM])) / (MAX(KabKota[IPM]) - MIN(KabKota[IPM])) * 100</f>
        <v>78.43495935</v>
      </c>
      <c r="J107" s="9">
        <f>(F107 - MIN(KabKota[IKF])) / (MAX(KabKota[IKF]) - MIN(KabKota[IKF])) * 100</f>
        <v>1.625</v>
      </c>
      <c r="K107" s="9">
        <f>(G107 - MIN(KabKota[TIK])) / (MAX(KabKota[TIK]) - MIN(KabKota[TIK])) * 100</f>
        <v>75</v>
      </c>
      <c r="L107" s="9">
        <f>(H107 - MIN(KabKota[IDI])) / (MAX(KabKota[IDI]) - MIN(KabKota[IDI])) * 100</f>
        <v>90.56582633</v>
      </c>
      <c r="M107" s="9">
        <f t="shared" si="1"/>
        <v>61.40644642</v>
      </c>
      <c r="N107" s="11">
        <f>_xlfn.RANK.EQ(M107,KabKota[Rata-rata Skor])</f>
        <v>106</v>
      </c>
      <c r="O107" s="6">
        <f>COUNTIFS(KabKota[Regional], B107, KabKota[Rata-rata Skor], "&gt;"&amp;M107) + 1</f>
        <v>24</v>
      </c>
    </row>
    <row r="108" ht="22.5" customHeight="1">
      <c r="A108" s="5">
        <v>148.0</v>
      </c>
      <c r="B108" s="5" t="s">
        <v>70</v>
      </c>
      <c r="C108" s="5" t="s">
        <v>24</v>
      </c>
      <c r="D108" s="5" t="s">
        <v>171</v>
      </c>
      <c r="E108" s="7">
        <v>78.65</v>
      </c>
      <c r="F108" s="8">
        <v>0.017</v>
      </c>
      <c r="G108" s="7">
        <f>VLOOKUP(C108,Provinsi[[#ALL],[Daerah]:[IDI]],4,0)</f>
        <v>6.8</v>
      </c>
      <c r="H108" s="9">
        <f>VLOOKUP(C108,Provinsi[[#ALL],[Daerah]:[IDI]],5,0)</f>
        <v>80.83</v>
      </c>
      <c r="I108" s="9">
        <f>(E108 - MIN(KabKota[IPM])) / (MAX(KabKota[IPM]) - MIN(KabKota[IPM])) * 100</f>
        <v>77.84552846</v>
      </c>
      <c r="J108" s="9">
        <f>(F108 - MIN(KabKota[IKF])) / (MAX(KabKota[IKF]) - MIN(KabKota[IKF])) * 100</f>
        <v>2.125</v>
      </c>
      <c r="K108" s="9">
        <f>(G108 - MIN(KabKota[TIK])) / (MAX(KabKota[TIK]) - MIN(KabKota[TIK])) * 100</f>
        <v>75</v>
      </c>
      <c r="L108" s="9">
        <f>(H108 - MIN(KabKota[IDI])) / (MAX(KabKota[IDI]) - MIN(KabKota[IDI])) * 100</f>
        <v>90.56582633</v>
      </c>
      <c r="M108" s="9">
        <f t="shared" si="1"/>
        <v>61.3840887</v>
      </c>
      <c r="N108" s="11">
        <f>_xlfn.RANK.EQ(M108,KabKota[Rata-rata Skor])</f>
        <v>107</v>
      </c>
      <c r="O108" s="6">
        <f>COUNTIFS(KabKota[Regional], B108, KabKota[Rata-rata Skor], "&gt;"&amp;M108) + 1</f>
        <v>25</v>
      </c>
    </row>
    <row r="109" ht="22.5" customHeight="1">
      <c r="A109" s="5">
        <v>328.0</v>
      </c>
      <c r="B109" s="5" t="s">
        <v>77</v>
      </c>
      <c r="C109" s="5" t="s">
        <v>35</v>
      </c>
      <c r="D109" s="5" t="s">
        <v>172</v>
      </c>
      <c r="E109" s="7">
        <v>75.67</v>
      </c>
      <c r="F109" s="8">
        <v>0.175</v>
      </c>
      <c r="G109" s="7">
        <f>VLOOKUP(C109,Provinsi[[#ALL],[Daerah]:[IDI]],4,0)</f>
        <v>5.9</v>
      </c>
      <c r="H109" s="9">
        <f>VLOOKUP(C109,Provinsi[[#ALL],[Daerah]:[IDI]],5,0)</f>
        <v>86.17</v>
      </c>
      <c r="I109" s="9">
        <f>(E109 - MIN(KabKota[IPM])) / (MAX(KabKota[IPM]) - MIN(KabKota[IPM])) * 100</f>
        <v>71.78861789</v>
      </c>
      <c r="J109" s="9">
        <f>(F109 - MIN(KabKota[IKF])) / (MAX(KabKota[IKF]) - MIN(KabKota[IKF])) * 100</f>
        <v>21.875</v>
      </c>
      <c r="K109" s="9">
        <f>(G109 - MIN(KabKota[TIK])) / (MAX(KabKota[TIK]) - MIN(KabKota[TIK])) * 100</f>
        <v>54.16666667</v>
      </c>
      <c r="L109" s="9">
        <f>(H109 - MIN(KabKota[IDI])) / (MAX(KabKota[IDI]) - MIN(KabKota[IDI])) * 100</f>
        <v>96.54901961</v>
      </c>
      <c r="M109" s="9">
        <f t="shared" si="1"/>
        <v>61.09482604</v>
      </c>
      <c r="N109" s="11">
        <f>_xlfn.RANK.EQ(M109,KabKota[Rata-rata Skor])</f>
        <v>108</v>
      </c>
      <c r="O109" s="6">
        <f>COUNTIFS(KabKota[Regional], B109, KabKota[Rata-rata Skor], "&gt;"&amp;M109) + 1</f>
        <v>20</v>
      </c>
    </row>
    <row r="110" ht="22.5" customHeight="1">
      <c r="A110" s="5">
        <v>72.0</v>
      </c>
      <c r="B110" s="5" t="s">
        <v>70</v>
      </c>
      <c r="C110" s="5" t="s">
        <v>34</v>
      </c>
      <c r="D110" s="5" t="s">
        <v>173</v>
      </c>
      <c r="E110" s="7">
        <v>81.32</v>
      </c>
      <c r="F110" s="8">
        <v>0.076</v>
      </c>
      <c r="G110" s="7">
        <f>VLOOKUP(C110,Provinsi[[#ALL],[Daerah]:[IDI]],4,0)</f>
        <v>6.27</v>
      </c>
      <c r="H110" s="9">
        <f>VLOOKUP(C110,Provinsi[[#ALL],[Daerah]:[IDI]],5,0)</f>
        <v>78.83</v>
      </c>
      <c r="I110" s="9">
        <f>(E110 - MIN(KabKota[IPM])) / (MAX(KabKota[IPM]) - MIN(KabKota[IPM])) * 100</f>
        <v>83.27235772</v>
      </c>
      <c r="J110" s="9">
        <f>(F110 - MIN(KabKota[IKF])) / (MAX(KabKota[IKF]) - MIN(KabKota[IKF])) * 100</f>
        <v>9.5</v>
      </c>
      <c r="K110" s="9">
        <f>(G110 - MIN(KabKota[TIK])) / (MAX(KabKota[TIK]) - MIN(KabKota[TIK])) * 100</f>
        <v>62.73148148</v>
      </c>
      <c r="L110" s="9">
        <f>(H110 - MIN(KabKota[IDI])) / (MAX(KabKota[IDI]) - MIN(KabKota[IDI])) * 100</f>
        <v>88.32492997</v>
      </c>
      <c r="M110" s="9">
        <f t="shared" si="1"/>
        <v>60.95719229</v>
      </c>
      <c r="N110" s="11">
        <f>_xlfn.RANK.EQ(M110,KabKota[Rata-rata Skor])</f>
        <v>109</v>
      </c>
      <c r="O110" s="6">
        <f>COUNTIFS(KabKota[Regional], B110, KabKota[Rata-rata Skor], "&gt;"&amp;M110) + 1</f>
        <v>26</v>
      </c>
    </row>
    <row r="111" ht="22.5" customHeight="1">
      <c r="A111" s="5">
        <v>376.0</v>
      </c>
      <c r="B111" s="5" t="s">
        <v>75</v>
      </c>
      <c r="C111" s="5" t="s">
        <v>37</v>
      </c>
      <c r="D111" s="5" t="s">
        <v>174</v>
      </c>
      <c r="E111" s="7">
        <v>77.76</v>
      </c>
      <c r="F111" s="8">
        <v>0.15</v>
      </c>
      <c r="G111" s="7">
        <f>VLOOKUP(C111,Provinsi[[#ALL],[Daerah]:[IDI]],4,0)</f>
        <v>6.03</v>
      </c>
      <c r="H111" s="9">
        <f>VLOOKUP(C111,Provinsi[[#ALL],[Daerah]:[IDI]],5,0)</f>
        <v>81.87</v>
      </c>
      <c r="I111" s="9">
        <f>(E111 - MIN(KabKota[IPM])) / (MAX(KabKota[IPM]) - MIN(KabKota[IPM])) * 100</f>
        <v>76.03658537</v>
      </c>
      <c r="J111" s="9">
        <f>(F111 - MIN(KabKota[IKF])) / (MAX(KabKota[IKF]) - MIN(KabKota[IKF])) * 100</f>
        <v>18.75</v>
      </c>
      <c r="K111" s="9">
        <f>(G111 - MIN(KabKota[TIK])) / (MAX(KabKota[TIK]) - MIN(KabKota[TIK])) * 100</f>
        <v>57.17592593</v>
      </c>
      <c r="L111" s="9">
        <f>(H111 - MIN(KabKota[IDI])) / (MAX(KabKota[IDI]) - MIN(KabKota[IDI])) * 100</f>
        <v>91.73109244</v>
      </c>
      <c r="M111" s="9">
        <f t="shared" si="1"/>
        <v>60.92340093</v>
      </c>
      <c r="N111" s="11">
        <f>_xlfn.RANK.EQ(M111,KabKota[Rata-rata Skor])</f>
        <v>110</v>
      </c>
      <c r="O111" s="6">
        <f>COUNTIFS(KabKota[Regional], B111, KabKota[Rata-rata Skor], "&gt;"&amp;M111) + 1</f>
        <v>8</v>
      </c>
    </row>
    <row r="112" ht="22.5" customHeight="1">
      <c r="A112" s="5">
        <v>186.0</v>
      </c>
      <c r="B112" s="5" t="s">
        <v>63</v>
      </c>
      <c r="C112" s="5" t="s">
        <v>19</v>
      </c>
      <c r="D112" s="5" t="s">
        <v>175</v>
      </c>
      <c r="E112" s="7">
        <v>76.59</v>
      </c>
      <c r="F112" s="8">
        <v>0.105</v>
      </c>
      <c r="G112" s="7">
        <f>VLOOKUP(C112,Provinsi[[#ALL],[Daerah]:[IDI]],4,0)</f>
        <v>6.33</v>
      </c>
      <c r="H112" s="9">
        <f>VLOOKUP(C112,Provinsi[[#ALL],[Daerah]:[IDI]],5,0)</f>
        <v>82.8</v>
      </c>
      <c r="I112" s="9">
        <f>(E112 - MIN(KabKota[IPM])) / (MAX(KabKota[IPM]) - MIN(KabKota[IPM])) * 100</f>
        <v>73.65853659</v>
      </c>
      <c r="J112" s="9">
        <f>(F112 - MIN(KabKota[IKF])) / (MAX(KabKota[IKF]) - MIN(KabKota[IKF])) * 100</f>
        <v>13.125</v>
      </c>
      <c r="K112" s="9">
        <f>(G112 - MIN(KabKota[TIK])) / (MAX(KabKota[TIK]) - MIN(KabKota[TIK])) * 100</f>
        <v>64.12037037</v>
      </c>
      <c r="L112" s="9">
        <f>(H112 - MIN(KabKota[IDI])) / (MAX(KabKota[IDI]) - MIN(KabKota[IDI])) * 100</f>
        <v>92.77310924</v>
      </c>
      <c r="M112" s="9">
        <f t="shared" si="1"/>
        <v>60.91925405</v>
      </c>
      <c r="N112" s="11">
        <f>_xlfn.RANK.EQ(M112,KabKota[Rata-rata Skor])</f>
        <v>111</v>
      </c>
      <c r="O112" s="6">
        <f>COUNTIFS(KabKota[Regional], B112, KabKota[Rata-rata Skor], "&gt;"&amp;M112) + 1</f>
        <v>47</v>
      </c>
    </row>
    <row r="113" ht="22.5" customHeight="1">
      <c r="A113" s="5">
        <v>384.0</v>
      </c>
      <c r="B113" s="5" t="s">
        <v>75</v>
      </c>
      <c r="C113" s="5" t="s">
        <v>37</v>
      </c>
      <c r="D113" s="5" t="s">
        <v>176</v>
      </c>
      <c r="E113" s="7">
        <v>80.65</v>
      </c>
      <c r="F113" s="8">
        <v>0.097</v>
      </c>
      <c r="G113" s="7">
        <f>VLOOKUP(C113,Provinsi[[#ALL],[Daerah]:[IDI]],4,0)</f>
        <v>6.03</v>
      </c>
      <c r="H113" s="9">
        <f>VLOOKUP(C113,Provinsi[[#ALL],[Daerah]:[IDI]],5,0)</f>
        <v>81.87</v>
      </c>
      <c r="I113" s="9">
        <f>(E113 - MIN(KabKota[IPM])) / (MAX(KabKota[IPM]) - MIN(KabKota[IPM])) * 100</f>
        <v>81.91056911</v>
      </c>
      <c r="J113" s="9">
        <f>(F113 - MIN(KabKota[IKF])) / (MAX(KabKota[IKF]) - MIN(KabKota[IKF])) * 100</f>
        <v>12.125</v>
      </c>
      <c r="K113" s="9">
        <f>(G113 - MIN(KabKota[TIK])) / (MAX(KabKota[TIK]) - MIN(KabKota[TIK])) * 100</f>
        <v>57.17592593</v>
      </c>
      <c r="L113" s="9">
        <f>(H113 - MIN(KabKota[IDI])) / (MAX(KabKota[IDI]) - MIN(KabKota[IDI])) * 100</f>
        <v>91.73109244</v>
      </c>
      <c r="M113" s="9">
        <f t="shared" si="1"/>
        <v>60.73564687</v>
      </c>
      <c r="N113" s="11">
        <f>_xlfn.RANK.EQ(M113,KabKota[Rata-rata Skor])</f>
        <v>112</v>
      </c>
      <c r="O113" s="6">
        <f>COUNTIFS(KabKota[Regional], B113, KabKota[Rata-rata Skor], "&gt;"&amp;M113) + 1</f>
        <v>9</v>
      </c>
    </row>
    <row r="114" ht="22.5" customHeight="1">
      <c r="A114" s="5">
        <v>345.0</v>
      </c>
      <c r="B114" s="5" t="s">
        <v>77</v>
      </c>
      <c r="C114" s="5" t="s">
        <v>41</v>
      </c>
      <c r="D114" s="5" t="s">
        <v>177</v>
      </c>
      <c r="E114" s="7">
        <v>75.11</v>
      </c>
      <c r="F114" s="8">
        <v>0.168</v>
      </c>
      <c r="G114" s="7">
        <f>VLOOKUP(C114,Provinsi[[#ALL],[Daerah]:[IDI]],4,0)</f>
        <v>6.13</v>
      </c>
      <c r="H114" s="9">
        <f>VLOOKUP(C114,Provinsi[[#ALL],[Daerah]:[IDI]],5,0)</f>
        <v>81.91</v>
      </c>
      <c r="I114" s="9">
        <f>(E114 - MIN(KabKota[IPM])) / (MAX(KabKota[IPM]) - MIN(KabKota[IPM])) * 100</f>
        <v>70.6504065</v>
      </c>
      <c r="J114" s="9">
        <f>(F114 - MIN(KabKota[IKF])) / (MAX(KabKota[IKF]) - MIN(KabKota[IKF])) * 100</f>
        <v>21</v>
      </c>
      <c r="K114" s="9">
        <f>(G114 - MIN(KabKota[TIK])) / (MAX(KabKota[TIK]) - MIN(KabKota[TIK])) * 100</f>
        <v>59.49074074</v>
      </c>
      <c r="L114" s="9">
        <f>(H114 - MIN(KabKota[IDI])) / (MAX(KabKota[IDI]) - MIN(KabKota[IDI])) * 100</f>
        <v>91.77591036</v>
      </c>
      <c r="M114" s="9">
        <f t="shared" si="1"/>
        <v>60.7292644</v>
      </c>
      <c r="N114" s="11">
        <f>_xlfn.RANK.EQ(M114,KabKota[Rata-rata Skor])</f>
        <v>113</v>
      </c>
      <c r="O114" s="6">
        <f>COUNTIFS(KabKota[Regional], B114, KabKota[Rata-rata Skor], "&gt;"&amp;M114) + 1</f>
        <v>21</v>
      </c>
    </row>
    <row r="115" ht="22.5" customHeight="1">
      <c r="A115" s="5">
        <v>398.0</v>
      </c>
      <c r="B115" s="5" t="s">
        <v>75</v>
      </c>
      <c r="C115" s="5" t="s">
        <v>47</v>
      </c>
      <c r="D115" s="5" t="s">
        <v>178</v>
      </c>
      <c r="E115" s="7">
        <v>84.53</v>
      </c>
      <c r="F115" s="8">
        <v>0.072</v>
      </c>
      <c r="G115" s="7">
        <f>VLOOKUP(C115,Provinsi[[#ALL],[Daerah]:[IDI]],4,0)</f>
        <v>5.93</v>
      </c>
      <c r="H115" s="9">
        <f>VLOOKUP(C115,Provinsi[[#ALL],[Daerah]:[IDI]],5,0)</f>
        <v>79.35</v>
      </c>
      <c r="I115" s="9">
        <f>(E115 - MIN(KabKota[IPM])) / (MAX(KabKota[IPM]) - MIN(KabKota[IPM])) * 100</f>
        <v>89.79674797</v>
      </c>
      <c r="J115" s="9">
        <f>(F115 - MIN(KabKota[IKF])) / (MAX(KabKota[IKF]) - MIN(KabKota[IKF])) * 100</f>
        <v>9</v>
      </c>
      <c r="K115" s="9">
        <f>(G115 - MIN(KabKota[TIK])) / (MAX(KabKota[TIK]) - MIN(KabKota[TIK])) * 100</f>
        <v>54.86111111</v>
      </c>
      <c r="L115" s="9">
        <f>(H115 - MIN(KabKota[IDI])) / (MAX(KabKota[IDI]) - MIN(KabKota[IDI])) * 100</f>
        <v>88.90756303</v>
      </c>
      <c r="M115" s="9">
        <f t="shared" si="1"/>
        <v>60.64135553</v>
      </c>
      <c r="N115" s="11">
        <f>_xlfn.RANK.EQ(M115,KabKota[Rata-rata Skor])</f>
        <v>114</v>
      </c>
      <c r="O115" s="6">
        <f>COUNTIFS(KabKota[Regional], B115, KabKota[Rata-rata Skor], "&gt;"&amp;M115) + 1</f>
        <v>10</v>
      </c>
    </row>
    <row r="116" ht="22.5" customHeight="1">
      <c r="A116" s="5">
        <v>404.0</v>
      </c>
      <c r="B116" s="5" t="s">
        <v>75</v>
      </c>
      <c r="C116" s="5" t="s">
        <v>32</v>
      </c>
      <c r="D116" s="5" t="s">
        <v>179</v>
      </c>
      <c r="E116" s="7">
        <v>74.22</v>
      </c>
      <c r="F116" s="8">
        <v>0.191</v>
      </c>
      <c r="G116" s="7">
        <f>VLOOKUP(C116,Provinsi[[#ALL],[Daerah]:[IDI]],4,0)</f>
        <v>6.21</v>
      </c>
      <c r="H116" s="9">
        <f>VLOOKUP(C116,Provinsi[[#ALL],[Daerah]:[IDI]],5,0)</f>
        <v>78.93</v>
      </c>
      <c r="I116" s="9">
        <f>(E116 - MIN(KabKota[IPM])) / (MAX(KabKota[IPM]) - MIN(KabKota[IPM])) * 100</f>
        <v>68.84146341</v>
      </c>
      <c r="J116" s="9">
        <f>(F116 - MIN(KabKota[IKF])) / (MAX(KabKota[IKF]) - MIN(KabKota[IKF])) * 100</f>
        <v>23.875</v>
      </c>
      <c r="K116" s="9">
        <f>(G116 - MIN(KabKota[TIK])) / (MAX(KabKota[TIK]) - MIN(KabKota[TIK])) * 100</f>
        <v>61.34259259</v>
      </c>
      <c r="L116" s="9">
        <f>(H116 - MIN(KabKota[IDI])) / (MAX(KabKota[IDI]) - MIN(KabKota[IDI])) * 100</f>
        <v>88.43697479</v>
      </c>
      <c r="M116" s="9">
        <f t="shared" si="1"/>
        <v>60.6240077</v>
      </c>
      <c r="N116" s="11">
        <f>_xlfn.RANK.EQ(M116,KabKota[Rata-rata Skor])</f>
        <v>115</v>
      </c>
      <c r="O116" s="6">
        <f>COUNTIFS(KabKota[Regional], B116, KabKota[Rata-rata Skor], "&gt;"&amp;M116) + 1</f>
        <v>11</v>
      </c>
    </row>
    <row r="117" ht="22.5" customHeight="1">
      <c r="A117" s="5">
        <v>461.0</v>
      </c>
      <c r="B117" s="5" t="s">
        <v>180</v>
      </c>
      <c r="C117" s="5" t="s">
        <v>49</v>
      </c>
      <c r="D117" s="5" t="s">
        <v>181</v>
      </c>
      <c r="E117" s="7">
        <v>83.97</v>
      </c>
      <c r="F117" s="8">
        <v>0.199</v>
      </c>
      <c r="G117" s="7">
        <f>VLOOKUP(C117,Provinsi[[#ALL],[Daerah]:[IDI]],4,0)</f>
        <v>5.84</v>
      </c>
      <c r="H117" s="9">
        <f>VLOOKUP(C117,Provinsi[[#ALL],[Daerah]:[IDI]],5,0)</f>
        <v>67.98</v>
      </c>
      <c r="I117" s="9">
        <f>(E117 - MIN(KabKota[IPM])) / (MAX(KabKota[IPM]) - MIN(KabKota[IPM])) * 100</f>
        <v>88.65853659</v>
      </c>
      <c r="J117" s="9">
        <f>(F117 - MIN(KabKota[IKF])) / (MAX(KabKota[IKF]) - MIN(KabKota[IKF])) * 100</f>
        <v>24.875</v>
      </c>
      <c r="K117" s="9">
        <f>(G117 - MIN(KabKota[TIK])) / (MAX(KabKota[TIK]) - MIN(KabKota[TIK])) * 100</f>
        <v>52.77777778</v>
      </c>
      <c r="L117" s="9">
        <f>(H117 - MIN(KabKota[IDI])) / (MAX(KabKota[IDI]) - MIN(KabKota[IDI])) * 100</f>
        <v>76.16806723</v>
      </c>
      <c r="M117" s="9">
        <f t="shared" si="1"/>
        <v>60.6198454</v>
      </c>
      <c r="N117" s="11">
        <f>_xlfn.RANK.EQ(M117,KabKota[Rata-rata Skor])</f>
        <v>116</v>
      </c>
      <c r="O117" s="6">
        <f>COUNTIFS(KabKota[Regional], B117, KabKota[Rata-rata Skor], "&gt;"&amp;M117) + 1</f>
        <v>1</v>
      </c>
    </row>
    <row r="118" ht="22.5" customHeight="1">
      <c r="A118" s="5">
        <v>52.0</v>
      </c>
      <c r="B118" s="5" t="s">
        <v>70</v>
      </c>
      <c r="C118" s="5" t="s">
        <v>21</v>
      </c>
      <c r="D118" s="5" t="s">
        <v>182</v>
      </c>
      <c r="E118" s="7">
        <v>76.7</v>
      </c>
      <c r="F118" s="8">
        <v>0.141</v>
      </c>
      <c r="G118" s="7">
        <f>VLOOKUP(C118,Provinsi[[#ALL],[Daerah]:[IDI]],4,0)</f>
        <v>6.2</v>
      </c>
      <c r="H118" s="9">
        <f>VLOOKUP(C118,Provinsi[[#ALL],[Daerah]:[IDI]],5,0)</f>
        <v>80.19</v>
      </c>
      <c r="I118" s="9">
        <f>(E118 - MIN(KabKota[IPM])) / (MAX(KabKota[IPM]) - MIN(KabKota[IPM])) * 100</f>
        <v>73.88211382</v>
      </c>
      <c r="J118" s="9">
        <f>(F118 - MIN(KabKota[IKF])) / (MAX(KabKota[IKF]) - MIN(KabKota[IKF])) * 100</f>
        <v>17.625</v>
      </c>
      <c r="K118" s="9">
        <f>(G118 - MIN(KabKota[TIK])) / (MAX(KabKota[TIK]) - MIN(KabKota[TIK])) * 100</f>
        <v>61.11111111</v>
      </c>
      <c r="L118" s="9">
        <f>(H118 - MIN(KabKota[IDI])) / (MAX(KabKota[IDI]) - MIN(KabKota[IDI])) * 100</f>
        <v>89.8487395</v>
      </c>
      <c r="M118" s="9">
        <f t="shared" si="1"/>
        <v>60.61674111</v>
      </c>
      <c r="N118" s="11">
        <f>_xlfn.RANK.EQ(M118,KabKota[Rata-rata Skor])</f>
        <v>117</v>
      </c>
      <c r="O118" s="6">
        <f>COUNTIFS(KabKota[Regional], B118, KabKota[Rata-rata Skor], "&gt;"&amp;M118) + 1</f>
        <v>27</v>
      </c>
    </row>
    <row r="119" ht="22.5" customHeight="1">
      <c r="A119" s="5">
        <v>353.0</v>
      </c>
      <c r="B119" s="5" t="s">
        <v>77</v>
      </c>
      <c r="C119" s="5" t="s">
        <v>41</v>
      </c>
      <c r="D119" s="5" t="s">
        <v>183</v>
      </c>
      <c r="E119" s="7">
        <v>74.78</v>
      </c>
      <c r="F119" s="8">
        <v>0.168</v>
      </c>
      <c r="G119" s="7">
        <f>VLOOKUP(C119,Provinsi[[#ALL],[Daerah]:[IDI]],4,0)</f>
        <v>6.13</v>
      </c>
      <c r="H119" s="9">
        <f>VLOOKUP(C119,Provinsi[[#ALL],[Daerah]:[IDI]],5,0)</f>
        <v>81.91</v>
      </c>
      <c r="I119" s="9">
        <f>(E119 - MIN(KabKota[IPM])) / (MAX(KabKota[IPM]) - MIN(KabKota[IPM])) * 100</f>
        <v>69.9796748</v>
      </c>
      <c r="J119" s="9">
        <f>(F119 - MIN(KabKota[IKF])) / (MAX(KabKota[IKF]) - MIN(KabKota[IKF])) * 100</f>
        <v>21</v>
      </c>
      <c r="K119" s="9">
        <f>(G119 - MIN(KabKota[TIK])) / (MAX(KabKota[TIK]) - MIN(KabKota[TIK])) * 100</f>
        <v>59.49074074</v>
      </c>
      <c r="L119" s="9">
        <f>(H119 - MIN(KabKota[IDI])) / (MAX(KabKota[IDI]) - MIN(KabKota[IDI])) * 100</f>
        <v>91.77591036</v>
      </c>
      <c r="M119" s="9">
        <f t="shared" si="1"/>
        <v>60.56158148</v>
      </c>
      <c r="N119" s="11">
        <f>_xlfn.RANK.EQ(M119,KabKota[Rata-rata Skor])</f>
        <v>118</v>
      </c>
      <c r="O119" s="6">
        <f>COUNTIFS(KabKota[Regional], B119, KabKota[Rata-rata Skor], "&gt;"&amp;M119) + 1</f>
        <v>22</v>
      </c>
    </row>
    <row r="120" ht="22.5" customHeight="1">
      <c r="A120" s="5">
        <v>231.0</v>
      </c>
      <c r="B120" s="5" t="s">
        <v>63</v>
      </c>
      <c r="C120" s="5" t="s">
        <v>23</v>
      </c>
      <c r="D120" s="5" t="s">
        <v>184</v>
      </c>
      <c r="E120" s="7">
        <v>75.88</v>
      </c>
      <c r="F120" s="8">
        <v>0.14</v>
      </c>
      <c r="G120" s="7">
        <f>VLOOKUP(C120,Provinsi[[#ALL],[Daerah]:[IDI]],4,0)</f>
        <v>6.07</v>
      </c>
      <c r="H120" s="9">
        <f>VLOOKUP(C120,Provinsi[[#ALL],[Daerah]:[IDI]],5,0)</f>
        <v>84.17</v>
      </c>
      <c r="I120" s="9">
        <f>(E120 - MIN(KabKota[IPM])) / (MAX(KabKota[IPM]) - MIN(KabKota[IPM])) * 100</f>
        <v>72.21544715</v>
      </c>
      <c r="J120" s="9">
        <f>(F120 - MIN(KabKota[IKF])) / (MAX(KabKota[IKF]) - MIN(KabKota[IKF])) * 100</f>
        <v>17.5</v>
      </c>
      <c r="K120" s="9">
        <f>(G120 - MIN(KabKota[TIK])) / (MAX(KabKota[TIK]) - MIN(KabKota[TIK])) * 100</f>
        <v>58.10185185</v>
      </c>
      <c r="L120" s="9">
        <f>(H120 - MIN(KabKota[IDI])) / (MAX(KabKota[IDI]) - MIN(KabKota[IDI])) * 100</f>
        <v>94.30812325</v>
      </c>
      <c r="M120" s="9">
        <f t="shared" si="1"/>
        <v>60.53135556</v>
      </c>
      <c r="N120" s="11">
        <f>_xlfn.RANK.EQ(M120,KabKota[Rata-rata Skor])</f>
        <v>119</v>
      </c>
      <c r="O120" s="6">
        <f>COUNTIFS(KabKota[Regional], B120, KabKota[Rata-rata Skor], "&gt;"&amp;M120) + 1</f>
        <v>48</v>
      </c>
    </row>
    <row r="121" ht="22.5" customHeight="1">
      <c r="A121" s="5">
        <v>279.0</v>
      </c>
      <c r="B121" s="5" t="s">
        <v>60</v>
      </c>
      <c r="C121" s="5" t="s">
        <v>18</v>
      </c>
      <c r="D121" s="5" t="s">
        <v>185</v>
      </c>
      <c r="E121" s="7">
        <v>73.22</v>
      </c>
      <c r="F121" s="8">
        <v>0.006</v>
      </c>
      <c r="G121" s="7">
        <f>VLOOKUP(C121,Provinsi[[#ALL],[Daerah]:[IDI]],4,0)</f>
        <v>6.82</v>
      </c>
      <c r="H121" s="9">
        <f>VLOOKUP(C121,Provinsi[[#ALL],[Daerah]:[IDI]],5,0)</f>
        <v>88.34</v>
      </c>
      <c r="I121" s="9">
        <f>(E121 - MIN(KabKota[IPM])) / (MAX(KabKota[IPM]) - MIN(KabKota[IPM])) * 100</f>
        <v>66.80894309</v>
      </c>
      <c r="J121" s="9">
        <f>(F121 - MIN(KabKota[IKF])) / (MAX(KabKota[IKF]) - MIN(KabKota[IKF])) * 100</f>
        <v>0.75</v>
      </c>
      <c r="K121" s="9">
        <f>(G121 - MIN(KabKota[TIK])) / (MAX(KabKota[TIK]) - MIN(KabKota[TIK])) * 100</f>
        <v>75.46296296</v>
      </c>
      <c r="L121" s="9">
        <f>(H121 - MIN(KabKota[IDI])) / (MAX(KabKota[IDI]) - MIN(KabKota[IDI])) * 100</f>
        <v>98.98039216</v>
      </c>
      <c r="M121" s="9">
        <f t="shared" si="1"/>
        <v>60.50057455</v>
      </c>
      <c r="N121" s="11">
        <f>_xlfn.RANK.EQ(M121,KabKota[Rata-rata Skor])</f>
        <v>120</v>
      </c>
      <c r="O121" s="6">
        <f>COUNTIFS(KabKota[Regional], B121, KabKota[Rata-rata Skor], "&gt;"&amp;M121) + 1</f>
        <v>11</v>
      </c>
    </row>
    <row r="122" ht="22.5" customHeight="1">
      <c r="A122" s="5">
        <v>258.0</v>
      </c>
      <c r="B122" s="5" t="s">
        <v>63</v>
      </c>
      <c r="C122" s="5" t="s">
        <v>23</v>
      </c>
      <c r="D122" s="5" t="s">
        <v>186</v>
      </c>
      <c r="E122" s="7">
        <v>82.03</v>
      </c>
      <c r="F122" s="8">
        <v>0.038</v>
      </c>
      <c r="G122" s="7">
        <f>VLOOKUP(C122,Provinsi[[#ALL],[Daerah]:[IDI]],4,0)</f>
        <v>6.07</v>
      </c>
      <c r="H122" s="9">
        <f>VLOOKUP(C122,Provinsi[[#ALL],[Daerah]:[IDI]],5,0)</f>
        <v>84.17</v>
      </c>
      <c r="I122" s="9">
        <f>(E122 - MIN(KabKota[IPM])) / (MAX(KabKota[IPM]) - MIN(KabKota[IPM])) * 100</f>
        <v>84.71544715</v>
      </c>
      <c r="J122" s="9">
        <f>(F122 - MIN(KabKota[IKF])) / (MAX(KabKota[IKF]) - MIN(KabKota[IKF])) * 100</f>
        <v>4.75</v>
      </c>
      <c r="K122" s="9">
        <f>(G122 - MIN(KabKota[TIK])) / (MAX(KabKota[TIK]) - MIN(KabKota[TIK])) * 100</f>
        <v>58.10185185</v>
      </c>
      <c r="L122" s="9">
        <f>(H122 - MIN(KabKota[IDI])) / (MAX(KabKota[IDI]) - MIN(KabKota[IDI])) * 100</f>
        <v>94.30812325</v>
      </c>
      <c r="M122" s="9">
        <f t="shared" si="1"/>
        <v>60.46885556</v>
      </c>
      <c r="N122" s="11">
        <f>_xlfn.RANK.EQ(M122,KabKota[Rata-rata Skor])</f>
        <v>121</v>
      </c>
      <c r="O122" s="6">
        <f>COUNTIFS(KabKota[Regional], B122, KabKota[Rata-rata Skor], "&gt;"&amp;M122) + 1</f>
        <v>49</v>
      </c>
    </row>
    <row r="123" ht="22.5" customHeight="1">
      <c r="A123" s="5">
        <v>54.0</v>
      </c>
      <c r="B123" s="5" t="s">
        <v>70</v>
      </c>
      <c r="C123" s="5" t="s">
        <v>21</v>
      </c>
      <c r="D123" s="5" t="s">
        <v>187</v>
      </c>
      <c r="E123" s="7">
        <v>79.26</v>
      </c>
      <c r="F123" s="8">
        <v>0.092</v>
      </c>
      <c r="G123" s="7">
        <f>VLOOKUP(C123,Provinsi[[#ALL],[Daerah]:[IDI]],4,0)</f>
        <v>6.2</v>
      </c>
      <c r="H123" s="9">
        <f>VLOOKUP(C123,Provinsi[[#ALL],[Daerah]:[IDI]],5,0)</f>
        <v>80.19</v>
      </c>
      <c r="I123" s="9">
        <f>(E123 - MIN(KabKota[IPM])) / (MAX(KabKota[IPM]) - MIN(KabKota[IPM])) * 100</f>
        <v>79.08536585</v>
      </c>
      <c r="J123" s="9">
        <f>(F123 - MIN(KabKota[IKF])) / (MAX(KabKota[IKF]) - MIN(KabKota[IKF])) * 100</f>
        <v>11.5</v>
      </c>
      <c r="K123" s="9">
        <f>(G123 - MIN(KabKota[TIK])) / (MAX(KabKota[TIK]) - MIN(KabKota[TIK])) * 100</f>
        <v>61.11111111</v>
      </c>
      <c r="L123" s="9">
        <f>(H123 - MIN(KabKota[IDI])) / (MAX(KabKota[IDI]) - MIN(KabKota[IDI])) * 100</f>
        <v>89.8487395</v>
      </c>
      <c r="M123" s="9">
        <f t="shared" si="1"/>
        <v>60.38630412</v>
      </c>
      <c r="N123" s="11">
        <f>_xlfn.RANK.EQ(M123,KabKota[Rata-rata Skor])</f>
        <v>122</v>
      </c>
      <c r="O123" s="6">
        <f>COUNTIFS(KabKota[Regional], B123, KabKota[Rata-rata Skor], "&gt;"&amp;M123) + 1</f>
        <v>28</v>
      </c>
    </row>
    <row r="124" ht="22.5" customHeight="1">
      <c r="A124" s="5">
        <v>32.0</v>
      </c>
      <c r="B124" s="5" t="s">
        <v>70</v>
      </c>
      <c r="C124" s="5" t="s">
        <v>21</v>
      </c>
      <c r="D124" s="5" t="s">
        <v>188</v>
      </c>
      <c r="E124" s="7">
        <v>75.13</v>
      </c>
      <c r="F124" s="8">
        <v>0.158</v>
      </c>
      <c r="G124" s="7">
        <f>VLOOKUP(C124,Provinsi[[#ALL],[Daerah]:[IDI]],4,0)</f>
        <v>6.2</v>
      </c>
      <c r="H124" s="9">
        <f>VLOOKUP(C124,Provinsi[[#ALL],[Daerah]:[IDI]],5,0)</f>
        <v>80.19</v>
      </c>
      <c r="I124" s="9">
        <f>(E124 - MIN(KabKota[IPM])) / (MAX(KabKota[IPM]) - MIN(KabKota[IPM])) * 100</f>
        <v>70.69105691</v>
      </c>
      <c r="J124" s="9">
        <f>(F124 - MIN(KabKota[IKF])) / (MAX(KabKota[IKF]) - MIN(KabKota[IKF])) * 100</f>
        <v>19.75</v>
      </c>
      <c r="K124" s="9">
        <f>(G124 - MIN(KabKota[TIK])) / (MAX(KabKota[TIK]) - MIN(KabKota[TIK])) * 100</f>
        <v>61.11111111</v>
      </c>
      <c r="L124" s="9">
        <f>(H124 - MIN(KabKota[IDI])) / (MAX(KabKota[IDI]) - MIN(KabKota[IDI])) * 100</f>
        <v>89.8487395</v>
      </c>
      <c r="M124" s="9">
        <f t="shared" si="1"/>
        <v>60.35022688</v>
      </c>
      <c r="N124" s="11">
        <f>_xlfn.RANK.EQ(M124,KabKota[Rata-rata Skor])</f>
        <v>123</v>
      </c>
      <c r="O124" s="6">
        <f>COUNTIFS(KabKota[Regional], B124, KabKota[Rata-rata Skor], "&gt;"&amp;M124) + 1</f>
        <v>29</v>
      </c>
    </row>
    <row r="125" ht="22.5" customHeight="1">
      <c r="A125" s="5">
        <v>356.0</v>
      </c>
      <c r="B125" s="5" t="s">
        <v>77</v>
      </c>
      <c r="C125" s="5" t="s">
        <v>28</v>
      </c>
      <c r="D125" s="5" t="s">
        <v>189</v>
      </c>
      <c r="E125" s="7">
        <v>75.85</v>
      </c>
      <c r="F125" s="8">
        <v>0.042</v>
      </c>
      <c r="G125" s="7">
        <f>VLOOKUP(C125,Provinsi[[#ALL],[Daerah]:[IDI]],4,0)</f>
        <v>6.73</v>
      </c>
      <c r="H125" s="9">
        <f>VLOOKUP(C125,Provinsi[[#ALL],[Daerah]:[IDI]],5,0)</f>
        <v>80.69</v>
      </c>
      <c r="I125" s="9">
        <f>(E125 - MIN(KabKota[IPM])) / (MAX(KabKota[IPM]) - MIN(KabKota[IPM])) * 100</f>
        <v>72.15447154</v>
      </c>
      <c r="J125" s="9">
        <f>(F125 - MIN(KabKota[IKF])) / (MAX(KabKota[IKF]) - MIN(KabKota[IKF])) * 100</f>
        <v>5.25</v>
      </c>
      <c r="K125" s="9">
        <f>(G125 - MIN(KabKota[TIK])) / (MAX(KabKota[TIK]) - MIN(KabKota[TIK])) * 100</f>
        <v>73.37962963</v>
      </c>
      <c r="L125" s="9">
        <f>(H125 - MIN(KabKota[IDI])) / (MAX(KabKota[IDI]) - MIN(KabKota[IDI])) * 100</f>
        <v>90.40896359</v>
      </c>
      <c r="M125" s="9">
        <f t="shared" si="1"/>
        <v>60.29826619</v>
      </c>
      <c r="N125" s="11">
        <f>_xlfn.RANK.EQ(M125,KabKota[Rata-rata Skor])</f>
        <v>124</v>
      </c>
      <c r="O125" s="6">
        <f>COUNTIFS(KabKota[Regional], B125, KabKota[Rata-rata Skor], "&gt;"&amp;M125) + 1</f>
        <v>23</v>
      </c>
    </row>
    <row r="126" ht="22.5" customHeight="1">
      <c r="A126" s="5">
        <v>42.0</v>
      </c>
      <c r="B126" s="5" t="s">
        <v>70</v>
      </c>
      <c r="C126" s="5" t="s">
        <v>21</v>
      </c>
      <c r="D126" s="5" t="s">
        <v>190</v>
      </c>
      <c r="E126" s="7">
        <v>73.92</v>
      </c>
      <c r="F126" s="8">
        <v>0.173</v>
      </c>
      <c r="G126" s="7">
        <f>VLOOKUP(C126,Provinsi[[#ALL],[Daerah]:[IDI]],4,0)</f>
        <v>6.2</v>
      </c>
      <c r="H126" s="9">
        <f>VLOOKUP(C126,Provinsi[[#ALL],[Daerah]:[IDI]],5,0)</f>
        <v>80.19</v>
      </c>
      <c r="I126" s="9">
        <f>(E126 - MIN(KabKota[IPM])) / (MAX(KabKota[IPM]) - MIN(KabKota[IPM])) * 100</f>
        <v>68.23170732</v>
      </c>
      <c r="J126" s="9">
        <f>(F126 - MIN(KabKota[IKF])) / (MAX(KabKota[IKF]) - MIN(KabKota[IKF])) * 100</f>
        <v>21.625</v>
      </c>
      <c r="K126" s="9">
        <f>(G126 - MIN(KabKota[TIK])) / (MAX(KabKota[TIK]) - MIN(KabKota[TIK])) * 100</f>
        <v>61.11111111</v>
      </c>
      <c r="L126" s="9">
        <f>(H126 - MIN(KabKota[IDI])) / (MAX(KabKota[IDI]) - MIN(KabKota[IDI])) * 100</f>
        <v>89.8487395</v>
      </c>
      <c r="M126" s="9">
        <f t="shared" si="1"/>
        <v>60.20413948</v>
      </c>
      <c r="N126" s="11">
        <f>_xlfn.RANK.EQ(M126,KabKota[Rata-rata Skor])</f>
        <v>125</v>
      </c>
      <c r="O126" s="6">
        <f>COUNTIFS(KabKota[Regional], B126, KabKota[Rata-rata Skor], "&gt;"&amp;M126) + 1</f>
        <v>30</v>
      </c>
    </row>
    <row r="127" ht="22.5" customHeight="1">
      <c r="A127" s="5">
        <v>421.0</v>
      </c>
      <c r="B127" s="5" t="s">
        <v>75</v>
      </c>
      <c r="C127" s="5" t="s">
        <v>32</v>
      </c>
      <c r="D127" s="5" t="s">
        <v>191</v>
      </c>
      <c r="E127" s="7">
        <v>81.5</v>
      </c>
      <c r="F127" s="8">
        <v>0.057</v>
      </c>
      <c r="G127" s="7">
        <f>VLOOKUP(C127,Provinsi[[#ALL],[Daerah]:[IDI]],4,0)</f>
        <v>6.21</v>
      </c>
      <c r="H127" s="9">
        <f>VLOOKUP(C127,Provinsi[[#ALL],[Daerah]:[IDI]],5,0)</f>
        <v>78.93</v>
      </c>
      <c r="I127" s="9">
        <f>(E127 - MIN(KabKota[IPM])) / (MAX(KabKota[IPM]) - MIN(KabKota[IPM])) * 100</f>
        <v>83.63821138</v>
      </c>
      <c r="J127" s="9">
        <f>(F127 - MIN(KabKota[IKF])) / (MAX(KabKota[IKF]) - MIN(KabKota[IKF])) * 100</f>
        <v>7.125</v>
      </c>
      <c r="K127" s="9">
        <f>(G127 - MIN(KabKota[TIK])) / (MAX(KabKota[TIK]) - MIN(KabKota[TIK])) * 100</f>
        <v>61.34259259</v>
      </c>
      <c r="L127" s="9">
        <f>(H127 - MIN(KabKota[IDI])) / (MAX(KabKota[IDI]) - MIN(KabKota[IDI])) * 100</f>
        <v>88.43697479</v>
      </c>
      <c r="M127" s="9">
        <f t="shared" si="1"/>
        <v>60.13569469</v>
      </c>
      <c r="N127" s="11">
        <f>_xlfn.RANK.EQ(M127,KabKota[Rata-rata Skor])</f>
        <v>126</v>
      </c>
      <c r="O127" s="6">
        <f>COUNTIFS(KabKota[Regional], B127, KabKota[Rata-rata Skor], "&gt;"&amp;M127) + 1</f>
        <v>12</v>
      </c>
    </row>
    <row r="128" ht="22.5" customHeight="1">
      <c r="A128" s="5">
        <v>367.0</v>
      </c>
      <c r="B128" s="5" t="s">
        <v>77</v>
      </c>
      <c r="C128" s="5" t="s">
        <v>42</v>
      </c>
      <c r="D128" s="5" t="s">
        <v>192</v>
      </c>
      <c r="E128" s="7">
        <v>75.21</v>
      </c>
      <c r="F128" s="8">
        <v>0.138</v>
      </c>
      <c r="G128" s="7">
        <f>VLOOKUP(C128,Provinsi[[#ALL],[Daerah]:[IDI]],4,0)</f>
        <v>6.4</v>
      </c>
      <c r="H128" s="9">
        <f>VLOOKUP(C128,Provinsi[[#ALL],[Daerah]:[IDI]],5,0)</f>
        <v>77.35</v>
      </c>
      <c r="I128" s="9">
        <f>(E128 - MIN(KabKota[IPM])) / (MAX(KabKota[IPM]) - MIN(KabKota[IPM])) * 100</f>
        <v>70.85365854</v>
      </c>
      <c r="J128" s="9">
        <f>(F128 - MIN(KabKota[IKF])) / (MAX(KabKota[IKF]) - MIN(KabKota[IKF])) * 100</f>
        <v>17.25</v>
      </c>
      <c r="K128" s="9">
        <f>(G128 - MIN(KabKota[TIK])) / (MAX(KabKota[TIK]) - MIN(KabKota[TIK])) * 100</f>
        <v>65.74074074</v>
      </c>
      <c r="L128" s="9">
        <f>(H128 - MIN(KabKota[IDI])) / (MAX(KabKota[IDI]) - MIN(KabKota[IDI])) * 100</f>
        <v>86.66666667</v>
      </c>
      <c r="M128" s="9">
        <f t="shared" si="1"/>
        <v>60.12776649</v>
      </c>
      <c r="N128" s="11">
        <f>_xlfn.RANK.EQ(M128,KabKota[Rata-rata Skor])</f>
        <v>127</v>
      </c>
      <c r="O128" s="6">
        <f>COUNTIFS(KabKota[Regional], B128, KabKota[Rata-rata Skor], "&gt;"&amp;M128) + 1</f>
        <v>24</v>
      </c>
    </row>
    <row r="129" ht="22.5" customHeight="1">
      <c r="A129" s="5">
        <v>197.0</v>
      </c>
      <c r="B129" s="5" t="s">
        <v>63</v>
      </c>
      <c r="C129" s="5" t="s">
        <v>30</v>
      </c>
      <c r="D129" s="5" t="s">
        <v>193</v>
      </c>
      <c r="E129" s="7">
        <v>78.68</v>
      </c>
      <c r="F129" s="8">
        <v>0.079</v>
      </c>
      <c r="G129" s="7">
        <f>VLOOKUP(C129,Provinsi[[#ALL],[Daerah]:[IDI]],4,0)</f>
        <v>5.98</v>
      </c>
      <c r="H129" s="9">
        <f>VLOOKUP(C129,Provinsi[[#ALL],[Daerah]:[IDI]],5,0)</f>
        <v>85.84</v>
      </c>
      <c r="I129" s="9">
        <f>(E129 - MIN(KabKota[IPM])) / (MAX(KabKota[IPM]) - MIN(KabKota[IPM])) * 100</f>
        <v>77.90650407</v>
      </c>
      <c r="J129" s="9">
        <f>(F129 - MIN(KabKota[IKF])) / (MAX(KabKota[IKF]) - MIN(KabKota[IKF])) * 100</f>
        <v>9.875</v>
      </c>
      <c r="K129" s="9">
        <f>(G129 - MIN(KabKota[TIK])) / (MAX(KabKota[TIK]) - MIN(KabKota[TIK])) * 100</f>
        <v>56.01851852</v>
      </c>
      <c r="L129" s="9">
        <f>(H129 - MIN(KabKota[IDI])) / (MAX(KabKota[IDI]) - MIN(KabKota[IDI])) * 100</f>
        <v>96.17927171</v>
      </c>
      <c r="M129" s="9">
        <f t="shared" si="1"/>
        <v>59.99482357</v>
      </c>
      <c r="N129" s="11">
        <f>_xlfn.RANK.EQ(M129,KabKota[Rata-rata Skor])</f>
        <v>128</v>
      </c>
      <c r="O129" s="6">
        <f>COUNTIFS(KabKota[Regional], B129, KabKota[Rata-rata Skor], "&gt;"&amp;M129) + 1</f>
        <v>50</v>
      </c>
    </row>
    <row r="130" ht="22.5" customHeight="1">
      <c r="A130" s="5">
        <v>260.0</v>
      </c>
      <c r="B130" s="5" t="s">
        <v>63</v>
      </c>
      <c r="C130" s="5" t="s">
        <v>23</v>
      </c>
      <c r="D130" s="5" t="s">
        <v>194</v>
      </c>
      <c r="E130" s="7">
        <v>78.5</v>
      </c>
      <c r="F130" s="8">
        <v>0.078</v>
      </c>
      <c r="G130" s="7">
        <f>VLOOKUP(C130,Provinsi[[#ALL],[Daerah]:[IDI]],4,0)</f>
        <v>6.07</v>
      </c>
      <c r="H130" s="9">
        <f>VLOOKUP(C130,Provinsi[[#ALL],[Daerah]:[IDI]],5,0)</f>
        <v>84.17</v>
      </c>
      <c r="I130" s="9">
        <f>(E130 - MIN(KabKota[IPM])) / (MAX(KabKota[IPM]) - MIN(KabKota[IPM])) * 100</f>
        <v>77.54065041</v>
      </c>
      <c r="J130" s="9">
        <f>(F130 - MIN(KabKota[IKF])) / (MAX(KabKota[IKF]) - MIN(KabKota[IKF])) * 100</f>
        <v>9.75</v>
      </c>
      <c r="K130" s="9">
        <f>(G130 - MIN(KabKota[TIK])) / (MAX(KabKota[TIK]) - MIN(KabKota[TIK])) * 100</f>
        <v>58.10185185</v>
      </c>
      <c r="L130" s="9">
        <f>(H130 - MIN(KabKota[IDI])) / (MAX(KabKota[IDI]) - MIN(KabKota[IDI])) * 100</f>
        <v>94.30812325</v>
      </c>
      <c r="M130" s="9">
        <f t="shared" si="1"/>
        <v>59.92515638</v>
      </c>
      <c r="N130" s="11">
        <f>_xlfn.RANK.EQ(M130,KabKota[Rata-rata Skor])</f>
        <v>129</v>
      </c>
      <c r="O130" s="6">
        <f>COUNTIFS(KabKota[Regional], B130, KabKota[Rata-rata Skor], "&gt;"&amp;M130) + 1</f>
        <v>51</v>
      </c>
    </row>
    <row r="131" ht="22.5" customHeight="1">
      <c r="A131" s="5">
        <v>21.0</v>
      </c>
      <c r="B131" s="5" t="s">
        <v>70</v>
      </c>
      <c r="C131" s="5" t="s">
        <v>36</v>
      </c>
      <c r="D131" s="5" t="s">
        <v>195</v>
      </c>
      <c r="E131" s="7">
        <v>81.75</v>
      </c>
      <c r="F131" s="8">
        <v>0.117</v>
      </c>
      <c r="G131" s="7">
        <f>VLOOKUP(C131,Provinsi[[#ALL],[Daerah]:[IDI]],4,0)</f>
        <v>5.97</v>
      </c>
      <c r="H131" s="9">
        <f>VLOOKUP(C131,Provinsi[[#ALL],[Daerah]:[IDI]],5,0)</f>
        <v>75.8</v>
      </c>
      <c r="I131" s="9">
        <f>(E131 - MIN(KabKota[IPM])) / (MAX(KabKota[IPM]) - MIN(KabKota[IPM])) * 100</f>
        <v>84.14634146</v>
      </c>
      <c r="J131" s="9">
        <f>(F131 - MIN(KabKota[IKF])) / (MAX(KabKota[IKF]) - MIN(KabKota[IKF])) * 100</f>
        <v>14.625</v>
      </c>
      <c r="K131" s="9">
        <f>(G131 - MIN(KabKota[TIK])) / (MAX(KabKota[TIK]) - MIN(KabKota[TIK])) * 100</f>
        <v>55.78703704</v>
      </c>
      <c r="L131" s="9">
        <f>(H131 - MIN(KabKota[IDI])) / (MAX(KabKota[IDI]) - MIN(KabKota[IDI])) * 100</f>
        <v>84.92997199</v>
      </c>
      <c r="M131" s="9">
        <f t="shared" si="1"/>
        <v>59.87208762</v>
      </c>
      <c r="N131" s="11">
        <f>_xlfn.RANK.EQ(M131,KabKota[Rata-rata Skor])</f>
        <v>130</v>
      </c>
      <c r="O131" s="6">
        <f>COUNTIFS(KabKota[Regional], B131, KabKota[Rata-rata Skor], "&gt;"&amp;M131) + 1</f>
        <v>31</v>
      </c>
    </row>
    <row r="132" ht="22.5" customHeight="1">
      <c r="A132" s="5">
        <v>357.0</v>
      </c>
      <c r="B132" s="5" t="s">
        <v>77</v>
      </c>
      <c r="C132" s="5" t="s">
        <v>28</v>
      </c>
      <c r="D132" s="5" t="s">
        <v>196</v>
      </c>
      <c r="E132" s="7">
        <v>77.25</v>
      </c>
      <c r="F132" s="8">
        <v>0.004</v>
      </c>
      <c r="G132" s="7">
        <f>VLOOKUP(C132,Provinsi[[#ALL],[Daerah]:[IDI]],4,0)</f>
        <v>6.73</v>
      </c>
      <c r="H132" s="9">
        <f>VLOOKUP(C132,Provinsi[[#ALL],[Daerah]:[IDI]],5,0)</f>
        <v>80.69</v>
      </c>
      <c r="I132" s="9">
        <f>(E132 - MIN(KabKota[IPM])) / (MAX(KabKota[IPM]) - MIN(KabKota[IPM])) * 100</f>
        <v>75</v>
      </c>
      <c r="J132" s="9">
        <f>(F132 - MIN(KabKota[IKF])) / (MAX(KabKota[IKF]) - MIN(KabKota[IKF])) * 100</f>
        <v>0.5</v>
      </c>
      <c r="K132" s="9">
        <f>(G132 - MIN(KabKota[TIK])) / (MAX(KabKota[TIK]) - MIN(KabKota[TIK])) * 100</f>
        <v>73.37962963</v>
      </c>
      <c r="L132" s="9">
        <f>(H132 - MIN(KabKota[IDI])) / (MAX(KabKota[IDI]) - MIN(KabKota[IDI])) * 100</f>
        <v>90.40896359</v>
      </c>
      <c r="M132" s="9">
        <f t="shared" si="1"/>
        <v>59.8221483</v>
      </c>
      <c r="N132" s="11">
        <f>_xlfn.RANK.EQ(M132,KabKota[Rata-rata Skor])</f>
        <v>131</v>
      </c>
      <c r="O132" s="6">
        <f>COUNTIFS(KabKota[Regional], B132, KabKota[Rata-rata Skor], "&gt;"&amp;M132) + 1</f>
        <v>25</v>
      </c>
    </row>
    <row r="133" ht="22.5" customHeight="1">
      <c r="A133" s="5">
        <v>75.0</v>
      </c>
      <c r="B133" s="5" t="s">
        <v>70</v>
      </c>
      <c r="C133" s="5" t="s">
        <v>34</v>
      </c>
      <c r="D133" s="5" t="s">
        <v>197</v>
      </c>
      <c r="E133" s="7">
        <v>81.27</v>
      </c>
      <c r="F133" s="8">
        <v>0.04</v>
      </c>
      <c r="G133" s="7">
        <f>VLOOKUP(C133,Provinsi[[#ALL],[Daerah]:[IDI]],4,0)</f>
        <v>6.27</v>
      </c>
      <c r="H133" s="9">
        <f>VLOOKUP(C133,Provinsi[[#ALL],[Daerah]:[IDI]],5,0)</f>
        <v>78.83</v>
      </c>
      <c r="I133" s="9">
        <f>(E133 - MIN(KabKota[IPM])) / (MAX(KabKota[IPM]) - MIN(KabKota[IPM])) * 100</f>
        <v>83.17073171</v>
      </c>
      <c r="J133" s="9">
        <f>(F133 - MIN(KabKota[IKF])) / (MAX(KabKota[IKF]) - MIN(KabKota[IKF])) * 100</f>
        <v>5</v>
      </c>
      <c r="K133" s="9">
        <f>(G133 - MIN(KabKota[TIK])) / (MAX(KabKota[TIK]) - MIN(KabKota[TIK])) * 100</f>
        <v>62.73148148</v>
      </c>
      <c r="L133" s="9">
        <f>(H133 - MIN(KabKota[IDI])) / (MAX(KabKota[IDI]) - MIN(KabKota[IDI])) * 100</f>
        <v>88.32492997</v>
      </c>
      <c r="M133" s="9">
        <f t="shared" si="1"/>
        <v>59.80678579</v>
      </c>
      <c r="N133" s="11">
        <f>_xlfn.RANK.EQ(M133,KabKota[Rata-rata Skor])</f>
        <v>132</v>
      </c>
      <c r="O133" s="6">
        <f>COUNTIFS(KabKota[Regional], B133, KabKota[Rata-rata Skor], "&gt;"&amp;M133) + 1</f>
        <v>32</v>
      </c>
    </row>
    <row r="134" ht="22.5" customHeight="1">
      <c r="A134" s="5">
        <v>291.0</v>
      </c>
      <c r="B134" s="5" t="s">
        <v>60</v>
      </c>
      <c r="C134" s="5" t="s">
        <v>45</v>
      </c>
      <c r="D134" s="5" t="s">
        <v>198</v>
      </c>
      <c r="E134" s="7">
        <v>82.37</v>
      </c>
      <c r="F134" s="8">
        <v>0.116</v>
      </c>
      <c r="G134" s="7">
        <f>VLOOKUP(C134,Provinsi[[#ALL],[Daerah]:[IDI]],4,0)</f>
        <v>5.88</v>
      </c>
      <c r="H134" s="9">
        <f>VLOOKUP(C134,Provinsi[[#ALL],[Daerah]:[IDI]],5,0)</f>
        <v>76.37</v>
      </c>
      <c r="I134" s="9">
        <f>(E134 - MIN(KabKota[IPM])) / (MAX(KabKota[IPM]) - MIN(KabKota[IPM])) * 100</f>
        <v>85.40650407</v>
      </c>
      <c r="J134" s="9">
        <f>(F134 - MIN(KabKota[IKF])) / (MAX(KabKota[IKF]) - MIN(KabKota[IKF])) * 100</f>
        <v>14.5</v>
      </c>
      <c r="K134" s="9">
        <f>(G134 - MIN(KabKota[TIK])) / (MAX(KabKota[TIK]) - MIN(KabKota[TIK])) * 100</f>
        <v>53.7037037</v>
      </c>
      <c r="L134" s="9">
        <f>(H134 - MIN(KabKota[IDI])) / (MAX(KabKota[IDI]) - MIN(KabKota[IDI])) * 100</f>
        <v>85.56862745</v>
      </c>
      <c r="M134" s="9">
        <f t="shared" si="1"/>
        <v>59.7947088</v>
      </c>
      <c r="N134" s="11">
        <f>_xlfn.RANK.EQ(M134,KabKota[Rata-rata Skor])</f>
        <v>133</v>
      </c>
      <c r="O134" s="6">
        <f>COUNTIFS(KabKota[Regional], B134, KabKota[Rata-rata Skor], "&gt;"&amp;M134) + 1</f>
        <v>12</v>
      </c>
    </row>
    <row r="135" ht="22.5" customHeight="1">
      <c r="A135" s="5">
        <v>407.0</v>
      </c>
      <c r="B135" s="5" t="s">
        <v>75</v>
      </c>
      <c r="C135" s="5" t="s">
        <v>32</v>
      </c>
      <c r="D135" s="5" t="s">
        <v>199</v>
      </c>
      <c r="E135" s="7">
        <v>74.79</v>
      </c>
      <c r="F135" s="8">
        <v>0.155</v>
      </c>
      <c r="G135" s="7">
        <f>VLOOKUP(C135,Provinsi[[#ALL],[Daerah]:[IDI]],4,0)</f>
        <v>6.21</v>
      </c>
      <c r="H135" s="9">
        <f>VLOOKUP(C135,Provinsi[[#ALL],[Daerah]:[IDI]],5,0)</f>
        <v>78.93</v>
      </c>
      <c r="I135" s="9">
        <f>(E135 - MIN(KabKota[IPM])) / (MAX(KabKota[IPM]) - MIN(KabKota[IPM])) * 100</f>
        <v>70</v>
      </c>
      <c r="J135" s="9">
        <f>(F135 - MIN(KabKota[IKF])) / (MAX(KabKota[IKF]) - MIN(KabKota[IKF])) * 100</f>
        <v>19.375</v>
      </c>
      <c r="K135" s="9">
        <f>(G135 - MIN(KabKota[TIK])) / (MAX(KabKota[TIK]) - MIN(KabKota[TIK])) * 100</f>
        <v>61.34259259</v>
      </c>
      <c r="L135" s="9">
        <f>(H135 - MIN(KabKota[IDI])) / (MAX(KabKota[IDI]) - MIN(KabKota[IDI])) * 100</f>
        <v>88.43697479</v>
      </c>
      <c r="M135" s="9">
        <f t="shared" si="1"/>
        <v>59.78864185</v>
      </c>
      <c r="N135" s="11">
        <f>_xlfn.RANK.EQ(M135,KabKota[Rata-rata Skor])</f>
        <v>134</v>
      </c>
      <c r="O135" s="6">
        <f>COUNTIFS(KabKota[Regional], B135, KabKota[Rata-rata Skor], "&gt;"&amp;M135) + 1</f>
        <v>13</v>
      </c>
    </row>
    <row r="136" ht="22.5" customHeight="1">
      <c r="A136" s="5">
        <v>200.0</v>
      </c>
      <c r="B136" s="5" t="s">
        <v>63</v>
      </c>
      <c r="C136" s="5" t="s">
        <v>30</v>
      </c>
      <c r="D136" s="5" t="s">
        <v>200</v>
      </c>
      <c r="E136" s="7">
        <v>78.67</v>
      </c>
      <c r="F136" s="8">
        <v>0.072</v>
      </c>
      <c r="G136" s="7">
        <f>VLOOKUP(C136,Provinsi[[#ALL],[Daerah]:[IDI]],4,0)</f>
        <v>5.98</v>
      </c>
      <c r="H136" s="9">
        <f>VLOOKUP(C136,Provinsi[[#ALL],[Daerah]:[IDI]],5,0)</f>
        <v>85.84</v>
      </c>
      <c r="I136" s="9">
        <f>(E136 - MIN(KabKota[IPM])) / (MAX(KabKota[IPM]) - MIN(KabKota[IPM])) * 100</f>
        <v>77.88617886</v>
      </c>
      <c r="J136" s="9">
        <f>(F136 - MIN(KabKota[IKF])) / (MAX(KabKota[IKF]) - MIN(KabKota[IKF])) * 100</f>
        <v>9</v>
      </c>
      <c r="K136" s="9">
        <f>(G136 - MIN(KabKota[TIK])) / (MAX(KabKota[TIK]) - MIN(KabKota[TIK])) * 100</f>
        <v>56.01851852</v>
      </c>
      <c r="L136" s="9">
        <f>(H136 - MIN(KabKota[IDI])) / (MAX(KabKota[IDI]) - MIN(KabKota[IDI])) * 100</f>
        <v>96.17927171</v>
      </c>
      <c r="M136" s="9">
        <f t="shared" si="1"/>
        <v>59.77099227</v>
      </c>
      <c r="N136" s="11">
        <f>_xlfn.RANK.EQ(M136,KabKota[Rata-rata Skor])</f>
        <v>135</v>
      </c>
      <c r="O136" s="6">
        <f>COUNTIFS(KabKota[Regional], B136, KabKota[Rata-rata Skor], "&gt;"&amp;M136) + 1</f>
        <v>52</v>
      </c>
    </row>
    <row r="137" ht="22.5" customHeight="1">
      <c r="A137" s="5">
        <v>326.0</v>
      </c>
      <c r="B137" s="5" t="s">
        <v>77</v>
      </c>
      <c r="C137" s="5" t="s">
        <v>35</v>
      </c>
      <c r="D137" s="5" t="s">
        <v>201</v>
      </c>
      <c r="E137" s="7">
        <v>72.01</v>
      </c>
      <c r="F137" s="8">
        <v>0.192</v>
      </c>
      <c r="G137" s="7">
        <f>VLOOKUP(C137,Provinsi[[#ALL],[Daerah]:[IDI]],4,0)</f>
        <v>5.9</v>
      </c>
      <c r="H137" s="9">
        <f>VLOOKUP(C137,Provinsi[[#ALL],[Daerah]:[IDI]],5,0)</f>
        <v>86.17</v>
      </c>
      <c r="I137" s="9">
        <f>(E137 - MIN(KabKota[IPM])) / (MAX(KabKota[IPM]) - MIN(KabKota[IPM])) * 100</f>
        <v>64.3495935</v>
      </c>
      <c r="J137" s="9">
        <f>(F137 - MIN(KabKota[IKF])) / (MAX(KabKota[IKF]) - MIN(KabKota[IKF])) * 100</f>
        <v>24</v>
      </c>
      <c r="K137" s="9">
        <f>(G137 - MIN(KabKota[TIK])) / (MAX(KabKota[TIK]) - MIN(KabKota[TIK])) * 100</f>
        <v>54.16666667</v>
      </c>
      <c r="L137" s="9">
        <f>(H137 - MIN(KabKota[IDI])) / (MAX(KabKota[IDI]) - MIN(KabKota[IDI])) * 100</f>
        <v>96.54901961</v>
      </c>
      <c r="M137" s="9">
        <f t="shared" si="1"/>
        <v>59.76631994</v>
      </c>
      <c r="N137" s="11">
        <f>_xlfn.RANK.EQ(M137,KabKota[Rata-rata Skor])</f>
        <v>136</v>
      </c>
      <c r="O137" s="6">
        <f>COUNTIFS(KabKota[Regional], B137, KabKota[Rata-rata Skor], "&gt;"&amp;M137) + 1</f>
        <v>26</v>
      </c>
    </row>
    <row r="138" ht="22.5" customHeight="1">
      <c r="A138" s="5">
        <v>262.0</v>
      </c>
      <c r="B138" s="5" t="s">
        <v>63</v>
      </c>
      <c r="C138" s="5" t="s">
        <v>23</v>
      </c>
      <c r="D138" s="5" t="s">
        <v>202</v>
      </c>
      <c r="E138" s="7">
        <v>82.35</v>
      </c>
      <c r="F138" s="8">
        <v>0.01</v>
      </c>
      <c r="G138" s="7">
        <f>VLOOKUP(C138,Provinsi[[#ALL],[Daerah]:[IDI]],4,0)</f>
        <v>6.07</v>
      </c>
      <c r="H138" s="9">
        <f>VLOOKUP(C138,Provinsi[[#ALL],[Daerah]:[IDI]],5,0)</f>
        <v>84.17</v>
      </c>
      <c r="I138" s="9">
        <f>(E138 - MIN(KabKota[IPM])) / (MAX(KabKota[IPM]) - MIN(KabKota[IPM])) * 100</f>
        <v>85.36585366</v>
      </c>
      <c r="J138" s="9">
        <f>(F138 - MIN(KabKota[IKF])) / (MAX(KabKota[IKF]) - MIN(KabKota[IKF])) * 100</f>
        <v>1.25</v>
      </c>
      <c r="K138" s="9">
        <f>(G138 - MIN(KabKota[TIK])) / (MAX(KabKota[TIK]) - MIN(KabKota[TIK])) * 100</f>
        <v>58.10185185</v>
      </c>
      <c r="L138" s="9">
        <f>(H138 - MIN(KabKota[IDI])) / (MAX(KabKota[IDI]) - MIN(KabKota[IDI])) * 100</f>
        <v>94.30812325</v>
      </c>
      <c r="M138" s="9">
        <f t="shared" si="1"/>
        <v>59.75645719</v>
      </c>
      <c r="N138" s="11">
        <f>_xlfn.RANK.EQ(M138,KabKota[Rata-rata Skor])</f>
        <v>137</v>
      </c>
      <c r="O138" s="6">
        <f>COUNTIFS(KabKota[Regional], B138, KabKota[Rata-rata Skor], "&gt;"&amp;M138) + 1</f>
        <v>53</v>
      </c>
    </row>
    <row r="139" ht="22.5" customHeight="1">
      <c r="A139" s="5">
        <v>209.0</v>
      </c>
      <c r="B139" s="5" t="s">
        <v>63</v>
      </c>
      <c r="C139" s="5" t="s">
        <v>30</v>
      </c>
      <c r="D139" s="5" t="s">
        <v>203</v>
      </c>
      <c r="E139" s="7">
        <v>76.4</v>
      </c>
      <c r="F139" s="8">
        <v>0.108</v>
      </c>
      <c r="G139" s="7">
        <f>VLOOKUP(C139,Provinsi[[#ALL],[Daerah]:[IDI]],4,0)</f>
        <v>5.98</v>
      </c>
      <c r="H139" s="9">
        <f>VLOOKUP(C139,Provinsi[[#ALL],[Daerah]:[IDI]],5,0)</f>
        <v>85.84</v>
      </c>
      <c r="I139" s="9">
        <f>(E139 - MIN(KabKota[IPM])) / (MAX(KabKota[IPM]) - MIN(KabKota[IPM])) * 100</f>
        <v>73.27235772</v>
      </c>
      <c r="J139" s="9">
        <f>(F139 - MIN(KabKota[IKF])) / (MAX(KabKota[IKF]) - MIN(KabKota[IKF])) * 100</f>
        <v>13.5</v>
      </c>
      <c r="K139" s="9">
        <f>(G139 - MIN(KabKota[TIK])) / (MAX(KabKota[TIK]) - MIN(KabKota[TIK])) * 100</f>
        <v>56.01851852</v>
      </c>
      <c r="L139" s="9">
        <f>(H139 - MIN(KabKota[IDI])) / (MAX(KabKota[IDI]) - MIN(KabKota[IDI])) * 100</f>
        <v>96.17927171</v>
      </c>
      <c r="M139" s="9">
        <f t="shared" si="1"/>
        <v>59.74253699</v>
      </c>
      <c r="N139" s="11">
        <f>_xlfn.RANK.EQ(M139,KabKota[Rata-rata Skor])</f>
        <v>138</v>
      </c>
      <c r="O139" s="6">
        <f>COUNTIFS(KabKota[Regional], B139, KabKota[Rata-rata Skor], "&gt;"&amp;M139) + 1</f>
        <v>54</v>
      </c>
    </row>
    <row r="140" ht="22.5" customHeight="1">
      <c r="A140" s="5">
        <v>350.0</v>
      </c>
      <c r="B140" s="5" t="s">
        <v>77</v>
      </c>
      <c r="C140" s="5" t="s">
        <v>41</v>
      </c>
      <c r="D140" s="5" t="s">
        <v>204</v>
      </c>
      <c r="E140" s="7">
        <v>72.67</v>
      </c>
      <c r="F140" s="8">
        <v>0.176</v>
      </c>
      <c r="G140" s="7">
        <f>VLOOKUP(C140,Provinsi[[#ALL],[Daerah]:[IDI]],4,0)</f>
        <v>6.13</v>
      </c>
      <c r="H140" s="9">
        <f>VLOOKUP(C140,Provinsi[[#ALL],[Daerah]:[IDI]],5,0)</f>
        <v>81.91</v>
      </c>
      <c r="I140" s="9">
        <f>(E140 - MIN(KabKota[IPM])) / (MAX(KabKota[IPM]) - MIN(KabKota[IPM])) * 100</f>
        <v>65.69105691</v>
      </c>
      <c r="J140" s="9">
        <f>(F140 - MIN(KabKota[IKF])) / (MAX(KabKota[IKF]) - MIN(KabKota[IKF])) * 100</f>
        <v>22</v>
      </c>
      <c r="K140" s="9">
        <f>(G140 - MIN(KabKota[TIK])) / (MAX(KabKota[TIK]) - MIN(KabKota[TIK])) * 100</f>
        <v>59.49074074</v>
      </c>
      <c r="L140" s="9">
        <f>(H140 - MIN(KabKota[IDI])) / (MAX(KabKota[IDI]) - MIN(KabKota[IDI])) * 100</f>
        <v>91.77591036</v>
      </c>
      <c r="M140" s="9">
        <f t="shared" si="1"/>
        <v>59.739427</v>
      </c>
      <c r="N140" s="11">
        <f>_xlfn.RANK.EQ(M140,KabKota[Rata-rata Skor])</f>
        <v>139</v>
      </c>
      <c r="O140" s="6">
        <f>COUNTIFS(KabKota[Regional], B140, KabKota[Rata-rata Skor], "&gt;"&amp;M140) + 1</f>
        <v>27</v>
      </c>
    </row>
    <row r="141" ht="22.5" customHeight="1">
      <c r="A141" s="5">
        <v>205.0</v>
      </c>
      <c r="B141" s="5" t="s">
        <v>63</v>
      </c>
      <c r="C141" s="5" t="s">
        <v>30</v>
      </c>
      <c r="D141" s="5" t="s">
        <v>205</v>
      </c>
      <c r="E141" s="7">
        <v>74.98</v>
      </c>
      <c r="F141" s="8">
        <v>0.126</v>
      </c>
      <c r="G141" s="7">
        <f>VLOOKUP(C141,Provinsi[[#ALL],[Daerah]:[IDI]],4,0)</f>
        <v>5.98</v>
      </c>
      <c r="H141" s="9">
        <f>VLOOKUP(C141,Provinsi[[#ALL],[Daerah]:[IDI]],5,0)</f>
        <v>85.84</v>
      </c>
      <c r="I141" s="9">
        <f>(E141 - MIN(KabKota[IPM])) / (MAX(KabKota[IPM]) - MIN(KabKota[IPM])) * 100</f>
        <v>70.38617886</v>
      </c>
      <c r="J141" s="9">
        <f>(F141 - MIN(KabKota[IKF])) / (MAX(KabKota[IKF]) - MIN(KabKota[IKF])) * 100</f>
        <v>15.75</v>
      </c>
      <c r="K141" s="9">
        <f>(G141 - MIN(KabKota[TIK])) / (MAX(KabKota[TIK]) - MIN(KabKota[TIK])) * 100</f>
        <v>56.01851852</v>
      </c>
      <c r="L141" s="9">
        <f>(H141 - MIN(KabKota[IDI])) / (MAX(KabKota[IDI]) - MIN(KabKota[IDI])) * 100</f>
        <v>96.17927171</v>
      </c>
      <c r="M141" s="9">
        <f t="shared" si="1"/>
        <v>59.58349227</v>
      </c>
      <c r="N141" s="11">
        <f>_xlfn.RANK.EQ(M141,KabKota[Rata-rata Skor])</f>
        <v>140</v>
      </c>
      <c r="O141" s="6">
        <f>COUNTIFS(KabKota[Regional], B141, KabKota[Rata-rata Skor], "&gt;"&amp;M141) + 1</f>
        <v>55</v>
      </c>
    </row>
    <row r="142" ht="22.5" customHeight="1">
      <c r="A142" s="5">
        <v>360.0</v>
      </c>
      <c r="B142" s="5" t="s">
        <v>77</v>
      </c>
      <c r="C142" s="5" t="s">
        <v>28</v>
      </c>
      <c r="D142" s="5" t="s">
        <v>206</v>
      </c>
      <c r="E142" s="7">
        <v>76.48</v>
      </c>
      <c r="F142" s="8">
        <v>0.006</v>
      </c>
      <c r="G142" s="7">
        <f>VLOOKUP(C142,Provinsi[[#ALL],[Daerah]:[IDI]],4,0)</f>
        <v>6.73</v>
      </c>
      <c r="H142" s="9">
        <f>VLOOKUP(C142,Provinsi[[#ALL],[Daerah]:[IDI]],5,0)</f>
        <v>80.69</v>
      </c>
      <c r="I142" s="9">
        <f>(E142 - MIN(KabKota[IPM])) / (MAX(KabKota[IPM]) - MIN(KabKota[IPM])) * 100</f>
        <v>73.43495935</v>
      </c>
      <c r="J142" s="9">
        <f>(F142 - MIN(KabKota[IKF])) / (MAX(KabKota[IKF]) - MIN(KabKota[IKF])) * 100</f>
        <v>0.75</v>
      </c>
      <c r="K142" s="9">
        <f>(G142 - MIN(KabKota[TIK])) / (MAX(KabKota[TIK]) - MIN(KabKota[TIK])) * 100</f>
        <v>73.37962963</v>
      </c>
      <c r="L142" s="9">
        <f>(H142 - MIN(KabKota[IDI])) / (MAX(KabKota[IDI]) - MIN(KabKota[IDI])) * 100</f>
        <v>90.40896359</v>
      </c>
      <c r="M142" s="9">
        <f t="shared" si="1"/>
        <v>59.49338814</v>
      </c>
      <c r="N142" s="11">
        <f>_xlfn.RANK.EQ(M142,KabKota[Rata-rata Skor])</f>
        <v>141</v>
      </c>
      <c r="O142" s="6">
        <f>COUNTIFS(KabKota[Regional], B142, KabKota[Rata-rata Skor], "&gt;"&amp;M142) + 1</f>
        <v>28</v>
      </c>
    </row>
    <row r="143" ht="22.5" customHeight="1">
      <c r="A143" s="5">
        <v>139.0</v>
      </c>
      <c r="B143" s="5" t="s">
        <v>70</v>
      </c>
      <c r="C143" s="5" t="s">
        <v>43</v>
      </c>
      <c r="D143" s="5" t="s">
        <v>207</v>
      </c>
      <c r="E143" s="7">
        <v>81.26</v>
      </c>
      <c r="F143" s="8">
        <v>0.152</v>
      </c>
      <c r="G143" s="7">
        <f>VLOOKUP(C143,Provinsi[[#ALL],[Daerah]:[IDI]],4,0)</f>
        <v>5.91</v>
      </c>
      <c r="H143" s="9">
        <f>VLOOKUP(C143,Provinsi[[#ALL],[Daerah]:[IDI]],5,0)</f>
        <v>72.62</v>
      </c>
      <c r="I143" s="9">
        <f>(E143 - MIN(KabKota[IPM])) / (MAX(KabKota[IPM]) - MIN(KabKota[IPM])) * 100</f>
        <v>83.1504065</v>
      </c>
      <c r="J143" s="9">
        <f>(F143 - MIN(KabKota[IKF])) / (MAX(KabKota[IKF]) - MIN(KabKota[IKF])) * 100</f>
        <v>19</v>
      </c>
      <c r="K143" s="9">
        <f>(G143 - MIN(KabKota[TIK])) / (MAX(KabKota[TIK]) - MIN(KabKota[TIK])) * 100</f>
        <v>54.39814815</v>
      </c>
      <c r="L143" s="9">
        <f>(H143 - MIN(KabKota[IDI])) / (MAX(KabKota[IDI]) - MIN(KabKota[IDI])) * 100</f>
        <v>81.36694678</v>
      </c>
      <c r="M143" s="9">
        <f t="shared" si="1"/>
        <v>59.47887536</v>
      </c>
      <c r="N143" s="11">
        <f>_xlfn.RANK.EQ(M143,KabKota[Rata-rata Skor])</f>
        <v>142</v>
      </c>
      <c r="O143" s="6">
        <f>COUNTIFS(KabKota[Regional], B143, KabKota[Rata-rata Skor], "&gt;"&amp;M143) + 1</f>
        <v>33</v>
      </c>
    </row>
    <row r="144" ht="22.5" customHeight="1">
      <c r="A144" s="5">
        <v>237.0</v>
      </c>
      <c r="B144" s="5" t="s">
        <v>63</v>
      </c>
      <c r="C144" s="5" t="s">
        <v>23</v>
      </c>
      <c r="D144" s="5" t="s">
        <v>208</v>
      </c>
      <c r="E144" s="7">
        <v>75.17</v>
      </c>
      <c r="F144" s="8">
        <v>0.116</v>
      </c>
      <c r="G144" s="7">
        <f>VLOOKUP(C144,Provinsi[[#ALL],[Daerah]:[IDI]],4,0)</f>
        <v>6.07</v>
      </c>
      <c r="H144" s="9">
        <f>VLOOKUP(C144,Provinsi[[#ALL],[Daerah]:[IDI]],5,0)</f>
        <v>84.17</v>
      </c>
      <c r="I144" s="9">
        <f>(E144 - MIN(KabKota[IPM])) / (MAX(KabKota[IPM]) - MIN(KabKota[IPM])) * 100</f>
        <v>70.77235772</v>
      </c>
      <c r="J144" s="9">
        <f>(F144 - MIN(KabKota[IKF])) / (MAX(KabKota[IKF]) - MIN(KabKota[IKF])) * 100</f>
        <v>14.5</v>
      </c>
      <c r="K144" s="9">
        <f>(G144 - MIN(KabKota[TIK])) / (MAX(KabKota[TIK]) - MIN(KabKota[TIK])) * 100</f>
        <v>58.10185185</v>
      </c>
      <c r="L144" s="9">
        <f>(H144 - MIN(KabKota[IDI])) / (MAX(KabKota[IDI]) - MIN(KabKota[IDI])) * 100</f>
        <v>94.30812325</v>
      </c>
      <c r="M144" s="9">
        <f t="shared" si="1"/>
        <v>59.42058321</v>
      </c>
      <c r="N144" s="11">
        <f>_xlfn.RANK.EQ(M144,KabKota[Rata-rata Skor])</f>
        <v>143</v>
      </c>
      <c r="O144" s="6">
        <f>COUNTIFS(KabKota[Regional], B144, KabKota[Rata-rata Skor], "&gt;"&amp;M144) + 1</f>
        <v>56</v>
      </c>
    </row>
    <row r="145" ht="22.5" customHeight="1">
      <c r="A145" s="5">
        <v>182.0</v>
      </c>
      <c r="B145" s="5" t="s">
        <v>63</v>
      </c>
      <c r="C145" s="5" t="s">
        <v>19</v>
      </c>
      <c r="D145" s="5" t="s">
        <v>209</v>
      </c>
      <c r="E145" s="7">
        <v>78.99</v>
      </c>
      <c r="F145" s="8">
        <v>0.015</v>
      </c>
      <c r="G145" s="7">
        <f>VLOOKUP(C145,Provinsi[[#ALL],[Daerah]:[IDI]],4,0)</f>
        <v>6.33</v>
      </c>
      <c r="H145" s="9">
        <f>VLOOKUP(C145,Provinsi[[#ALL],[Daerah]:[IDI]],5,0)</f>
        <v>82.8</v>
      </c>
      <c r="I145" s="9">
        <f>(E145 - MIN(KabKota[IPM])) / (MAX(KabKota[IPM]) - MIN(KabKota[IPM])) * 100</f>
        <v>78.53658537</v>
      </c>
      <c r="J145" s="9">
        <f>(F145 - MIN(KabKota[IKF])) / (MAX(KabKota[IKF]) - MIN(KabKota[IKF])) * 100</f>
        <v>1.875</v>
      </c>
      <c r="K145" s="9">
        <f>(G145 - MIN(KabKota[TIK])) / (MAX(KabKota[TIK]) - MIN(KabKota[TIK])) * 100</f>
        <v>64.12037037</v>
      </c>
      <c r="L145" s="9">
        <f>(H145 - MIN(KabKota[IDI])) / (MAX(KabKota[IDI]) - MIN(KabKota[IDI])) * 100</f>
        <v>92.77310924</v>
      </c>
      <c r="M145" s="9">
        <f t="shared" si="1"/>
        <v>59.32626624</v>
      </c>
      <c r="N145" s="11">
        <f>_xlfn.RANK.EQ(M145,KabKota[Rata-rata Skor])</f>
        <v>144</v>
      </c>
      <c r="O145" s="6">
        <f>COUNTIFS(KabKota[Regional], B145, KabKota[Rata-rata Skor], "&gt;"&amp;M145) + 1</f>
        <v>57</v>
      </c>
    </row>
    <row r="146" ht="22.5" customHeight="1">
      <c r="A146" s="5">
        <v>422.0</v>
      </c>
      <c r="B146" s="5" t="s">
        <v>75</v>
      </c>
      <c r="C146" s="5" t="s">
        <v>32</v>
      </c>
      <c r="D146" s="5" t="s">
        <v>210</v>
      </c>
      <c r="E146" s="7">
        <v>81.74</v>
      </c>
      <c r="F146" s="8">
        <v>0.025</v>
      </c>
      <c r="G146" s="7">
        <f>VLOOKUP(C146,Provinsi[[#ALL],[Daerah]:[IDI]],4,0)</f>
        <v>6.21</v>
      </c>
      <c r="H146" s="9">
        <f>VLOOKUP(C146,Provinsi[[#ALL],[Daerah]:[IDI]],5,0)</f>
        <v>78.93</v>
      </c>
      <c r="I146" s="9">
        <f>(E146 - MIN(KabKota[IPM])) / (MAX(KabKota[IPM]) - MIN(KabKota[IPM])) * 100</f>
        <v>84.12601626</v>
      </c>
      <c r="J146" s="9">
        <f>(F146 - MIN(KabKota[IKF])) / (MAX(KabKota[IKF]) - MIN(KabKota[IKF])) * 100</f>
        <v>3.125</v>
      </c>
      <c r="K146" s="9">
        <f>(G146 - MIN(KabKota[TIK])) / (MAX(KabKota[TIK]) - MIN(KabKota[TIK])) * 100</f>
        <v>61.34259259</v>
      </c>
      <c r="L146" s="9">
        <f>(H146 - MIN(KabKota[IDI])) / (MAX(KabKota[IDI]) - MIN(KabKota[IDI])) * 100</f>
        <v>88.43697479</v>
      </c>
      <c r="M146" s="9">
        <f t="shared" si="1"/>
        <v>59.25764591</v>
      </c>
      <c r="N146" s="11">
        <f>_xlfn.RANK.EQ(M146,KabKota[Rata-rata Skor])</f>
        <v>145</v>
      </c>
      <c r="O146" s="6">
        <f>COUNTIFS(KabKota[Regional], B146, KabKota[Rata-rata Skor], "&gt;"&amp;M146) + 1</f>
        <v>14</v>
      </c>
    </row>
    <row r="147" ht="22.5" customHeight="1">
      <c r="A147" s="5">
        <v>234.0</v>
      </c>
      <c r="B147" s="5" t="s">
        <v>63</v>
      </c>
      <c r="C147" s="5" t="s">
        <v>23</v>
      </c>
      <c r="D147" s="5" t="s">
        <v>211</v>
      </c>
      <c r="E147" s="7">
        <v>74.45</v>
      </c>
      <c r="F147" s="8">
        <v>0.122</v>
      </c>
      <c r="G147" s="7">
        <f>VLOOKUP(C147,Provinsi[[#ALL],[Daerah]:[IDI]],4,0)</f>
        <v>6.07</v>
      </c>
      <c r="H147" s="9">
        <f>VLOOKUP(C147,Provinsi[[#ALL],[Daerah]:[IDI]],5,0)</f>
        <v>84.17</v>
      </c>
      <c r="I147" s="9">
        <f>(E147 - MIN(KabKota[IPM])) / (MAX(KabKota[IPM]) - MIN(KabKota[IPM])) * 100</f>
        <v>69.30894309</v>
      </c>
      <c r="J147" s="9">
        <f>(F147 - MIN(KabKota[IKF])) / (MAX(KabKota[IKF]) - MIN(KabKota[IKF])) * 100</f>
        <v>15.25</v>
      </c>
      <c r="K147" s="9">
        <f>(G147 - MIN(KabKota[TIK])) / (MAX(KabKota[TIK]) - MIN(KabKota[TIK])) * 100</f>
        <v>58.10185185</v>
      </c>
      <c r="L147" s="9">
        <f>(H147 - MIN(KabKota[IDI])) / (MAX(KabKota[IDI]) - MIN(KabKota[IDI])) * 100</f>
        <v>94.30812325</v>
      </c>
      <c r="M147" s="9">
        <f t="shared" si="1"/>
        <v>59.24222955</v>
      </c>
      <c r="N147" s="11">
        <f>_xlfn.RANK.EQ(M147,KabKota[Rata-rata Skor])</f>
        <v>146</v>
      </c>
      <c r="O147" s="6">
        <f>COUNTIFS(KabKota[Regional], B147, KabKota[Rata-rata Skor], "&gt;"&amp;M147) + 1</f>
        <v>58</v>
      </c>
    </row>
    <row r="148" ht="22.5" customHeight="1">
      <c r="A148" s="5">
        <v>372.0</v>
      </c>
      <c r="B148" s="5" t="s">
        <v>75</v>
      </c>
      <c r="C148" s="5" t="s">
        <v>37</v>
      </c>
      <c r="D148" s="5" t="s">
        <v>212</v>
      </c>
      <c r="E148" s="7">
        <v>79.73</v>
      </c>
      <c r="F148" s="8">
        <v>0.061</v>
      </c>
      <c r="G148" s="7">
        <f>VLOOKUP(C148,Provinsi[[#ALL],[Daerah]:[IDI]],4,0)</f>
        <v>6.03</v>
      </c>
      <c r="H148" s="9">
        <f>VLOOKUP(C148,Provinsi[[#ALL],[Daerah]:[IDI]],5,0)</f>
        <v>81.87</v>
      </c>
      <c r="I148" s="9">
        <f>(E148 - MIN(KabKota[IPM])) / (MAX(KabKota[IPM]) - MIN(KabKota[IPM])) * 100</f>
        <v>80.04065041</v>
      </c>
      <c r="J148" s="9">
        <f>(F148 - MIN(KabKota[IKF])) / (MAX(KabKota[IKF]) - MIN(KabKota[IKF])) * 100</f>
        <v>7.625</v>
      </c>
      <c r="K148" s="9">
        <f>(G148 - MIN(KabKota[TIK])) / (MAX(KabKota[TIK]) - MIN(KabKota[TIK])) * 100</f>
        <v>57.17592593</v>
      </c>
      <c r="L148" s="9">
        <f>(H148 - MIN(KabKota[IDI])) / (MAX(KabKota[IDI]) - MIN(KabKota[IDI])) * 100</f>
        <v>91.73109244</v>
      </c>
      <c r="M148" s="9">
        <f t="shared" si="1"/>
        <v>59.14316719</v>
      </c>
      <c r="N148" s="11">
        <f>_xlfn.RANK.EQ(M148,KabKota[Rata-rata Skor])</f>
        <v>147</v>
      </c>
      <c r="O148" s="6">
        <f>COUNTIFS(KabKota[Regional], B148, KabKota[Rata-rata Skor], "&gt;"&amp;M148) + 1</f>
        <v>15</v>
      </c>
    </row>
    <row r="149" ht="22.5" customHeight="1">
      <c r="A149" s="5">
        <v>245.0</v>
      </c>
      <c r="B149" s="5" t="s">
        <v>63</v>
      </c>
      <c r="C149" s="5" t="s">
        <v>23</v>
      </c>
      <c r="D149" s="5" t="s">
        <v>213</v>
      </c>
      <c r="E149" s="7">
        <v>75.89</v>
      </c>
      <c r="F149" s="8">
        <v>0.095</v>
      </c>
      <c r="G149" s="7">
        <f>VLOOKUP(C149,Provinsi[[#ALL],[Daerah]:[IDI]],4,0)</f>
        <v>6.07</v>
      </c>
      <c r="H149" s="9">
        <f>VLOOKUP(C149,Provinsi[[#ALL],[Daerah]:[IDI]],5,0)</f>
        <v>84.17</v>
      </c>
      <c r="I149" s="9">
        <f>(E149 - MIN(KabKota[IPM])) / (MAX(KabKota[IPM]) - MIN(KabKota[IPM])) * 100</f>
        <v>72.23577236</v>
      </c>
      <c r="J149" s="9">
        <f>(F149 - MIN(KabKota[IKF])) / (MAX(KabKota[IKF]) - MIN(KabKota[IKF])) * 100</f>
        <v>11.875</v>
      </c>
      <c r="K149" s="9">
        <f>(G149 - MIN(KabKota[TIK])) / (MAX(KabKota[TIK]) - MIN(KabKota[TIK])) * 100</f>
        <v>58.10185185</v>
      </c>
      <c r="L149" s="9">
        <f>(H149 - MIN(KabKota[IDI])) / (MAX(KabKota[IDI]) - MIN(KabKota[IDI])) * 100</f>
        <v>94.30812325</v>
      </c>
      <c r="M149" s="9">
        <f t="shared" si="1"/>
        <v>59.13018686</v>
      </c>
      <c r="N149" s="11">
        <f>_xlfn.RANK.EQ(M149,KabKota[Rata-rata Skor])</f>
        <v>148</v>
      </c>
      <c r="O149" s="6">
        <f>COUNTIFS(KabKota[Regional], B149, KabKota[Rata-rata Skor], "&gt;"&amp;M149) + 1</f>
        <v>59</v>
      </c>
    </row>
    <row r="150" ht="22.5" customHeight="1">
      <c r="A150" s="5">
        <v>361.0</v>
      </c>
      <c r="B150" s="5" t="s">
        <v>77</v>
      </c>
      <c r="C150" s="5" t="s">
        <v>28</v>
      </c>
      <c r="D150" s="5" t="s">
        <v>214</v>
      </c>
      <c r="E150" s="7">
        <v>75.82</v>
      </c>
      <c r="F150" s="8">
        <v>0.004</v>
      </c>
      <c r="G150" s="7">
        <f>VLOOKUP(C150,Provinsi[[#ALL],[Daerah]:[IDI]],4,0)</f>
        <v>6.73</v>
      </c>
      <c r="H150" s="9">
        <f>VLOOKUP(C150,Provinsi[[#ALL],[Daerah]:[IDI]],5,0)</f>
        <v>80.69</v>
      </c>
      <c r="I150" s="9">
        <f>(E150 - MIN(KabKota[IPM])) / (MAX(KabKota[IPM]) - MIN(KabKota[IPM])) * 100</f>
        <v>72.09349593</v>
      </c>
      <c r="J150" s="9">
        <f>(F150 - MIN(KabKota[IKF])) / (MAX(KabKota[IKF]) - MIN(KabKota[IKF])) * 100</f>
        <v>0.5</v>
      </c>
      <c r="K150" s="9">
        <f>(G150 - MIN(KabKota[TIK])) / (MAX(KabKota[TIK]) - MIN(KabKota[TIK])) * 100</f>
        <v>73.37962963</v>
      </c>
      <c r="L150" s="9">
        <f>(H150 - MIN(KabKota[IDI])) / (MAX(KabKota[IDI]) - MIN(KabKota[IDI])) * 100</f>
        <v>90.40896359</v>
      </c>
      <c r="M150" s="9">
        <f t="shared" si="1"/>
        <v>59.09552229</v>
      </c>
      <c r="N150" s="11">
        <f>_xlfn.RANK.EQ(M150,KabKota[Rata-rata Skor])</f>
        <v>149</v>
      </c>
      <c r="O150" s="6">
        <f>COUNTIFS(KabKota[Regional], B150, KabKota[Rata-rata Skor], "&gt;"&amp;M150) + 1</f>
        <v>29</v>
      </c>
    </row>
    <row r="151" ht="22.5" customHeight="1">
      <c r="A151" s="5">
        <v>468.0</v>
      </c>
      <c r="B151" s="5" t="s">
        <v>180</v>
      </c>
      <c r="C151" s="5" t="s">
        <v>51</v>
      </c>
      <c r="D151" s="5" t="s">
        <v>215</v>
      </c>
      <c r="E151" s="7">
        <v>71.11</v>
      </c>
      <c r="F151" s="8">
        <v>0.386</v>
      </c>
      <c r="G151" s="7">
        <f>VLOOKUP(C151,Provinsi[[#ALL],[Daerah]:[IDI]],4,0)</f>
        <v>5.68</v>
      </c>
      <c r="H151" s="9">
        <f>VLOOKUP(C151,Provinsi[[#ALL],[Daerah]:[IDI]],5,0)</f>
        <v>67.8</v>
      </c>
      <c r="I151" s="9">
        <f>(E151 - MIN(KabKota[IPM])) / (MAX(KabKota[IPM]) - MIN(KabKota[IPM])) * 100</f>
        <v>62.5203252</v>
      </c>
      <c r="J151" s="9">
        <f>(F151 - MIN(KabKota[IKF])) / (MAX(KabKota[IKF]) - MIN(KabKota[IKF])) * 100</f>
        <v>48.25</v>
      </c>
      <c r="K151" s="9">
        <f>(G151 - MIN(KabKota[TIK])) / (MAX(KabKota[TIK]) - MIN(KabKota[TIK])) * 100</f>
        <v>49.07407407</v>
      </c>
      <c r="L151" s="9">
        <f>(H151 - MIN(KabKota[IDI])) / (MAX(KabKota[IDI]) - MIN(KabKota[IDI])) * 100</f>
        <v>75.96638655</v>
      </c>
      <c r="M151" s="9">
        <f t="shared" si="1"/>
        <v>58.95269646</v>
      </c>
      <c r="N151" s="11">
        <f>_xlfn.RANK.EQ(M151,KabKota[Rata-rata Skor])</f>
        <v>150</v>
      </c>
      <c r="O151" s="6">
        <f>COUNTIFS(KabKota[Regional], B151, KabKota[Rata-rata Skor], "&gt;"&amp;M151) + 1</f>
        <v>2</v>
      </c>
    </row>
    <row r="152" ht="22.5" customHeight="1">
      <c r="A152" s="5">
        <v>247.0</v>
      </c>
      <c r="B152" s="5" t="s">
        <v>63</v>
      </c>
      <c r="C152" s="5" t="s">
        <v>23</v>
      </c>
      <c r="D152" s="5" t="s">
        <v>216</v>
      </c>
      <c r="E152" s="7">
        <v>77.58</v>
      </c>
      <c r="F152" s="8">
        <v>0.059</v>
      </c>
      <c r="G152" s="7">
        <f>VLOOKUP(C152,Provinsi[[#ALL],[Daerah]:[IDI]],4,0)</f>
        <v>6.07</v>
      </c>
      <c r="H152" s="9">
        <f>VLOOKUP(C152,Provinsi[[#ALL],[Daerah]:[IDI]],5,0)</f>
        <v>84.17</v>
      </c>
      <c r="I152" s="9">
        <f>(E152 - MIN(KabKota[IPM])) / (MAX(KabKota[IPM]) - MIN(KabKota[IPM])) * 100</f>
        <v>75.67073171</v>
      </c>
      <c r="J152" s="9">
        <f>(F152 - MIN(KabKota[IKF])) / (MAX(KabKota[IKF]) - MIN(KabKota[IKF])) * 100</f>
        <v>7.375</v>
      </c>
      <c r="K152" s="9">
        <f>(G152 - MIN(KabKota[TIK])) / (MAX(KabKota[TIK]) - MIN(KabKota[TIK])) * 100</f>
        <v>58.10185185</v>
      </c>
      <c r="L152" s="9">
        <f>(H152 - MIN(KabKota[IDI])) / (MAX(KabKota[IDI]) - MIN(KabKota[IDI])) * 100</f>
        <v>94.30812325</v>
      </c>
      <c r="M152" s="9">
        <f t="shared" si="1"/>
        <v>58.8639267</v>
      </c>
      <c r="N152" s="11">
        <f>_xlfn.RANK.EQ(M152,KabKota[Rata-rata Skor])</f>
        <v>151</v>
      </c>
      <c r="O152" s="6">
        <f>COUNTIFS(KabKota[Regional], B152, KabKota[Rata-rata Skor], "&gt;"&amp;M152) + 1</f>
        <v>60</v>
      </c>
    </row>
    <row r="153" ht="22.5" customHeight="1">
      <c r="A153" s="5">
        <v>113.0</v>
      </c>
      <c r="B153" s="5" t="s">
        <v>70</v>
      </c>
      <c r="C153" s="5" t="s">
        <v>29</v>
      </c>
      <c r="D153" s="5" t="s">
        <v>217</v>
      </c>
      <c r="E153" s="7">
        <v>74.92</v>
      </c>
      <c r="F153" s="8">
        <v>0.132</v>
      </c>
      <c r="G153" s="7">
        <f>VLOOKUP(C153,Provinsi[[#ALL],[Daerah]:[IDI]],4,0)</f>
        <v>5.97</v>
      </c>
      <c r="H153" s="9">
        <f>VLOOKUP(C153,Provinsi[[#ALL],[Daerah]:[IDI]],5,0)</f>
        <v>82.71</v>
      </c>
      <c r="I153" s="9">
        <f>(E153 - MIN(KabKota[IPM])) / (MAX(KabKota[IPM]) - MIN(KabKota[IPM])) * 100</f>
        <v>70.26422764</v>
      </c>
      <c r="J153" s="9">
        <f>(F153 - MIN(KabKota[IKF])) / (MAX(KabKota[IKF]) - MIN(KabKota[IKF])) * 100</f>
        <v>16.5</v>
      </c>
      <c r="K153" s="9">
        <f>(G153 - MIN(KabKota[TIK])) / (MAX(KabKota[TIK]) - MIN(KabKota[TIK])) * 100</f>
        <v>55.78703704</v>
      </c>
      <c r="L153" s="9">
        <f>(H153 - MIN(KabKota[IDI])) / (MAX(KabKota[IDI]) - MIN(KabKota[IDI])) * 100</f>
        <v>92.67226891</v>
      </c>
      <c r="M153" s="9">
        <f t="shared" si="1"/>
        <v>58.8058834</v>
      </c>
      <c r="N153" s="11">
        <f>_xlfn.RANK.EQ(M153,KabKota[Rata-rata Skor])</f>
        <v>152</v>
      </c>
      <c r="O153" s="6">
        <f>COUNTIFS(KabKota[Regional], B153, KabKota[Rata-rata Skor], "&gt;"&amp;M153) + 1</f>
        <v>34</v>
      </c>
    </row>
    <row r="154" ht="22.5" customHeight="1">
      <c r="A154" s="5">
        <v>34.0</v>
      </c>
      <c r="B154" s="5" t="s">
        <v>70</v>
      </c>
      <c r="C154" s="5" t="s">
        <v>21</v>
      </c>
      <c r="D154" s="5" t="s">
        <v>218</v>
      </c>
      <c r="E154" s="7">
        <v>76.68</v>
      </c>
      <c r="F154" s="8">
        <v>0.081</v>
      </c>
      <c r="G154" s="7">
        <f>VLOOKUP(C154,Provinsi[[#ALL],[Daerah]:[IDI]],4,0)</f>
        <v>6.2</v>
      </c>
      <c r="H154" s="9">
        <f>VLOOKUP(C154,Provinsi[[#ALL],[Daerah]:[IDI]],5,0)</f>
        <v>80.19</v>
      </c>
      <c r="I154" s="9">
        <f>(E154 - MIN(KabKota[IPM])) / (MAX(KabKota[IPM]) - MIN(KabKota[IPM])) * 100</f>
        <v>73.84146341</v>
      </c>
      <c r="J154" s="9">
        <f>(F154 - MIN(KabKota[IKF])) / (MAX(KabKota[IKF]) - MIN(KabKota[IKF])) * 100</f>
        <v>10.125</v>
      </c>
      <c r="K154" s="9">
        <f>(G154 - MIN(KabKota[TIK])) / (MAX(KabKota[TIK]) - MIN(KabKota[TIK])) * 100</f>
        <v>61.11111111</v>
      </c>
      <c r="L154" s="9">
        <f>(H154 - MIN(KabKota[IDI])) / (MAX(KabKota[IDI]) - MIN(KabKota[IDI])) * 100</f>
        <v>89.8487395</v>
      </c>
      <c r="M154" s="9">
        <f t="shared" si="1"/>
        <v>58.73157851</v>
      </c>
      <c r="N154" s="11">
        <f>_xlfn.RANK.EQ(M154,KabKota[Rata-rata Skor])</f>
        <v>153</v>
      </c>
      <c r="O154" s="6">
        <f>COUNTIFS(KabKota[Regional], B154, KabKota[Rata-rata Skor], "&gt;"&amp;M154) + 1</f>
        <v>35</v>
      </c>
    </row>
    <row r="155" ht="22.5" customHeight="1">
      <c r="A155" s="5">
        <v>152.0</v>
      </c>
      <c r="B155" s="5" t="s">
        <v>70</v>
      </c>
      <c r="C155" s="5" t="s">
        <v>24</v>
      </c>
      <c r="D155" s="5" t="s">
        <v>219</v>
      </c>
      <c r="E155" s="7">
        <v>74.07</v>
      </c>
      <c r="F155" s="8">
        <v>0.005</v>
      </c>
      <c r="G155" s="7">
        <f>VLOOKUP(C155,Provinsi[[#ALL],[Daerah]:[IDI]],4,0)</f>
        <v>6.8</v>
      </c>
      <c r="H155" s="9">
        <f>VLOOKUP(C155,Provinsi[[#ALL],[Daerah]:[IDI]],5,0)</f>
        <v>80.83</v>
      </c>
      <c r="I155" s="9">
        <f>(E155 - MIN(KabKota[IPM])) / (MAX(KabKota[IPM]) - MIN(KabKota[IPM])) * 100</f>
        <v>68.53658537</v>
      </c>
      <c r="J155" s="9">
        <f>(F155 - MIN(KabKota[IKF])) / (MAX(KabKota[IKF]) - MIN(KabKota[IKF])) * 100</f>
        <v>0.625</v>
      </c>
      <c r="K155" s="9">
        <f>(G155 - MIN(KabKota[TIK])) / (MAX(KabKota[TIK]) - MIN(KabKota[TIK])) * 100</f>
        <v>75</v>
      </c>
      <c r="L155" s="9">
        <f>(H155 - MIN(KabKota[IDI])) / (MAX(KabKota[IDI]) - MIN(KabKota[IDI])) * 100</f>
        <v>90.56582633</v>
      </c>
      <c r="M155" s="9">
        <f t="shared" si="1"/>
        <v>58.68185292</v>
      </c>
      <c r="N155" s="11">
        <f>_xlfn.RANK.EQ(M155,KabKota[Rata-rata Skor])</f>
        <v>154</v>
      </c>
      <c r="O155" s="6">
        <f>COUNTIFS(KabKota[Regional], B155, KabKota[Rata-rata Skor], "&gt;"&amp;M155) + 1</f>
        <v>36</v>
      </c>
    </row>
    <row r="156" ht="22.5" customHeight="1">
      <c r="A156" s="5">
        <v>222.0</v>
      </c>
      <c r="B156" s="5" t="s">
        <v>63</v>
      </c>
      <c r="C156" s="5" t="s">
        <v>30</v>
      </c>
      <c r="D156" s="5" t="s">
        <v>220</v>
      </c>
      <c r="E156" s="7">
        <v>77.95</v>
      </c>
      <c r="F156" s="8">
        <v>0.048</v>
      </c>
      <c r="G156" s="7">
        <f>VLOOKUP(C156,Provinsi[[#ALL],[Daerah]:[IDI]],4,0)</f>
        <v>5.98</v>
      </c>
      <c r="H156" s="9">
        <f>VLOOKUP(C156,Provinsi[[#ALL],[Daerah]:[IDI]],5,0)</f>
        <v>85.84</v>
      </c>
      <c r="I156" s="9">
        <f>(E156 - MIN(KabKota[IPM])) / (MAX(KabKota[IPM]) - MIN(KabKota[IPM])) * 100</f>
        <v>76.42276423</v>
      </c>
      <c r="J156" s="9">
        <f>(F156 - MIN(KabKota[IKF])) / (MAX(KabKota[IKF]) - MIN(KabKota[IKF])) * 100</f>
        <v>6</v>
      </c>
      <c r="K156" s="9">
        <f>(G156 - MIN(KabKota[TIK])) / (MAX(KabKota[TIK]) - MIN(KabKota[TIK])) * 100</f>
        <v>56.01851852</v>
      </c>
      <c r="L156" s="9">
        <f>(H156 - MIN(KabKota[IDI])) / (MAX(KabKota[IDI]) - MIN(KabKota[IDI])) * 100</f>
        <v>96.17927171</v>
      </c>
      <c r="M156" s="9">
        <f t="shared" si="1"/>
        <v>58.65513861</v>
      </c>
      <c r="N156" s="11">
        <f>_xlfn.RANK.EQ(M156,KabKota[Rata-rata Skor])</f>
        <v>155</v>
      </c>
      <c r="O156" s="6">
        <f>COUNTIFS(KabKota[Regional], B156, KabKota[Rata-rata Skor], "&gt;"&amp;M156) + 1</f>
        <v>61</v>
      </c>
    </row>
    <row r="157" ht="22.5" customHeight="1">
      <c r="A157" s="5">
        <v>102.0</v>
      </c>
      <c r="B157" s="5" t="s">
        <v>70</v>
      </c>
      <c r="C157" s="5" t="s">
        <v>29</v>
      </c>
      <c r="D157" s="5" t="s">
        <v>221</v>
      </c>
      <c r="E157" s="7">
        <v>73.75</v>
      </c>
      <c r="F157" s="8">
        <v>0.145</v>
      </c>
      <c r="G157" s="7">
        <f>VLOOKUP(C157,Provinsi[[#ALL],[Daerah]:[IDI]],4,0)</f>
        <v>5.97</v>
      </c>
      <c r="H157" s="9">
        <f>VLOOKUP(C157,Provinsi[[#ALL],[Daerah]:[IDI]],5,0)</f>
        <v>82.71</v>
      </c>
      <c r="I157" s="9">
        <f>(E157 - MIN(KabKota[IPM])) / (MAX(KabKota[IPM]) - MIN(KabKota[IPM])) * 100</f>
        <v>67.88617886</v>
      </c>
      <c r="J157" s="9">
        <f>(F157 - MIN(KabKota[IKF])) / (MAX(KabKota[IKF]) - MIN(KabKota[IKF])) * 100</f>
        <v>18.125</v>
      </c>
      <c r="K157" s="9">
        <f>(G157 - MIN(KabKota[TIK])) / (MAX(KabKota[TIK]) - MIN(KabKota[TIK])) * 100</f>
        <v>55.78703704</v>
      </c>
      <c r="L157" s="9">
        <f>(H157 - MIN(KabKota[IDI])) / (MAX(KabKota[IDI]) - MIN(KabKota[IDI])) * 100</f>
        <v>92.67226891</v>
      </c>
      <c r="M157" s="9">
        <f t="shared" si="1"/>
        <v>58.6176212</v>
      </c>
      <c r="N157" s="11">
        <f>_xlfn.RANK.EQ(M157,KabKota[Rata-rata Skor])</f>
        <v>156</v>
      </c>
      <c r="O157" s="6">
        <f>COUNTIFS(KabKota[Regional], B157, KabKota[Rata-rata Skor], "&gt;"&amp;M157) + 1</f>
        <v>37</v>
      </c>
    </row>
    <row r="158" ht="22.5" customHeight="1">
      <c r="A158" s="5">
        <v>151.0</v>
      </c>
      <c r="B158" s="5" t="s">
        <v>70</v>
      </c>
      <c r="C158" s="5" t="s">
        <v>24</v>
      </c>
      <c r="D158" s="5" t="s">
        <v>222</v>
      </c>
      <c r="E158" s="7">
        <v>73.82</v>
      </c>
      <c r="F158" s="8">
        <v>0.007</v>
      </c>
      <c r="G158" s="7">
        <f>VLOOKUP(C158,Provinsi[[#ALL],[Daerah]:[IDI]],4,0)</f>
        <v>6.8</v>
      </c>
      <c r="H158" s="9">
        <f>VLOOKUP(C158,Provinsi[[#ALL],[Daerah]:[IDI]],5,0)</f>
        <v>80.83</v>
      </c>
      <c r="I158" s="9">
        <f>(E158 - MIN(KabKota[IPM])) / (MAX(KabKota[IPM]) - MIN(KabKota[IPM])) * 100</f>
        <v>68.02845528</v>
      </c>
      <c r="J158" s="9">
        <f>(F158 - MIN(KabKota[IKF])) / (MAX(KabKota[IKF]) - MIN(KabKota[IKF])) * 100</f>
        <v>0.875</v>
      </c>
      <c r="K158" s="9">
        <f>(G158 - MIN(KabKota[TIK])) / (MAX(KabKota[TIK]) - MIN(KabKota[TIK])) * 100</f>
        <v>75</v>
      </c>
      <c r="L158" s="9">
        <f>(H158 - MIN(KabKota[IDI])) / (MAX(KabKota[IDI]) - MIN(KabKota[IDI])) * 100</f>
        <v>90.56582633</v>
      </c>
      <c r="M158" s="9">
        <f t="shared" si="1"/>
        <v>58.6173204</v>
      </c>
      <c r="N158" s="11">
        <f>_xlfn.RANK.EQ(M158,KabKota[Rata-rata Skor])</f>
        <v>157</v>
      </c>
      <c r="O158" s="6">
        <f>COUNTIFS(KabKota[Regional], B158, KabKota[Rata-rata Skor], "&gt;"&amp;M158) + 1</f>
        <v>38</v>
      </c>
    </row>
    <row r="159" ht="22.5" customHeight="1">
      <c r="A159" s="5">
        <v>177.0</v>
      </c>
      <c r="B159" s="5" t="s">
        <v>63</v>
      </c>
      <c r="C159" s="5" t="s">
        <v>19</v>
      </c>
      <c r="D159" s="5" t="s">
        <v>223</v>
      </c>
      <c r="E159" s="7">
        <v>71.65</v>
      </c>
      <c r="F159" s="8">
        <v>0.107</v>
      </c>
      <c r="G159" s="7">
        <f>VLOOKUP(C159,Provinsi[[#ALL],[Daerah]:[IDI]],4,0)</f>
        <v>6.33</v>
      </c>
      <c r="H159" s="9">
        <f>VLOOKUP(C159,Provinsi[[#ALL],[Daerah]:[IDI]],5,0)</f>
        <v>82.8</v>
      </c>
      <c r="I159" s="9">
        <f>(E159 - MIN(KabKota[IPM])) / (MAX(KabKota[IPM]) - MIN(KabKota[IPM])) * 100</f>
        <v>63.61788618</v>
      </c>
      <c r="J159" s="9">
        <f>(F159 - MIN(KabKota[IKF])) / (MAX(KabKota[IKF]) - MIN(KabKota[IKF])) * 100</f>
        <v>13.375</v>
      </c>
      <c r="K159" s="9">
        <f>(G159 - MIN(KabKota[TIK])) / (MAX(KabKota[TIK]) - MIN(KabKota[TIK])) * 100</f>
        <v>64.12037037</v>
      </c>
      <c r="L159" s="9">
        <f>(H159 - MIN(KabKota[IDI])) / (MAX(KabKota[IDI]) - MIN(KabKota[IDI])) * 100</f>
        <v>92.77310924</v>
      </c>
      <c r="M159" s="9">
        <f t="shared" si="1"/>
        <v>58.47159145</v>
      </c>
      <c r="N159" s="11">
        <f>_xlfn.RANK.EQ(M159,KabKota[Rata-rata Skor])</f>
        <v>158</v>
      </c>
      <c r="O159" s="6">
        <f>COUNTIFS(KabKota[Regional], B159, KabKota[Rata-rata Skor], "&gt;"&amp;M159) + 1</f>
        <v>62</v>
      </c>
    </row>
    <row r="160" ht="22.5" customHeight="1">
      <c r="A160" s="5">
        <v>410.0</v>
      </c>
      <c r="B160" s="5" t="s">
        <v>75</v>
      </c>
      <c r="C160" s="5" t="s">
        <v>32</v>
      </c>
      <c r="D160" s="5" t="s">
        <v>224</v>
      </c>
      <c r="E160" s="7">
        <v>73.69</v>
      </c>
      <c r="F160" s="8">
        <v>0.129</v>
      </c>
      <c r="G160" s="7">
        <f>VLOOKUP(C160,Provinsi[[#ALL],[Daerah]:[IDI]],4,0)</f>
        <v>6.21</v>
      </c>
      <c r="H160" s="9">
        <f>VLOOKUP(C160,Provinsi[[#ALL],[Daerah]:[IDI]],5,0)</f>
        <v>78.93</v>
      </c>
      <c r="I160" s="9">
        <f>(E160 - MIN(KabKota[IPM])) / (MAX(KabKota[IPM]) - MIN(KabKota[IPM])) * 100</f>
        <v>67.76422764</v>
      </c>
      <c r="J160" s="9">
        <f>(F160 - MIN(KabKota[IKF])) / (MAX(KabKota[IKF]) - MIN(KabKota[IKF])) * 100</f>
        <v>16.125</v>
      </c>
      <c r="K160" s="9">
        <f>(G160 - MIN(KabKota[TIK])) / (MAX(KabKota[TIK]) - MIN(KabKota[TIK])) * 100</f>
        <v>61.34259259</v>
      </c>
      <c r="L160" s="9">
        <f>(H160 - MIN(KabKota[IDI])) / (MAX(KabKota[IDI]) - MIN(KabKota[IDI])) * 100</f>
        <v>88.43697479</v>
      </c>
      <c r="M160" s="9">
        <f t="shared" si="1"/>
        <v>58.41719876</v>
      </c>
      <c r="N160" s="11">
        <f>_xlfn.RANK.EQ(M160,KabKota[Rata-rata Skor])</f>
        <v>159</v>
      </c>
      <c r="O160" s="6">
        <f>COUNTIFS(KabKota[Regional], B160, KabKota[Rata-rata Skor], "&gt;"&amp;M160) + 1</f>
        <v>16</v>
      </c>
    </row>
    <row r="161" ht="22.5" customHeight="1">
      <c r="A161" s="5">
        <v>208.0</v>
      </c>
      <c r="B161" s="5" t="s">
        <v>63</v>
      </c>
      <c r="C161" s="5" t="s">
        <v>30</v>
      </c>
      <c r="D161" s="5" t="s">
        <v>225</v>
      </c>
      <c r="E161" s="7">
        <v>75.08</v>
      </c>
      <c r="F161" s="8">
        <v>0.087</v>
      </c>
      <c r="G161" s="7">
        <f>VLOOKUP(C161,Provinsi[[#ALL],[Daerah]:[IDI]],4,0)</f>
        <v>5.98</v>
      </c>
      <c r="H161" s="9">
        <f>VLOOKUP(C161,Provinsi[[#ALL],[Daerah]:[IDI]],5,0)</f>
        <v>85.84</v>
      </c>
      <c r="I161" s="9">
        <f>(E161 - MIN(KabKota[IPM])) / (MAX(KabKota[IPM]) - MIN(KabKota[IPM])) * 100</f>
        <v>70.58943089</v>
      </c>
      <c r="J161" s="9">
        <f>(F161 - MIN(KabKota[IKF])) / (MAX(KabKota[IKF]) - MIN(KabKota[IKF])) * 100</f>
        <v>10.875</v>
      </c>
      <c r="K161" s="9">
        <f>(G161 - MIN(KabKota[TIK])) / (MAX(KabKota[TIK]) - MIN(KabKota[TIK])) * 100</f>
        <v>56.01851852</v>
      </c>
      <c r="L161" s="9">
        <f>(H161 - MIN(KabKota[IDI])) / (MAX(KabKota[IDI]) - MIN(KabKota[IDI])) * 100</f>
        <v>96.17927171</v>
      </c>
      <c r="M161" s="9">
        <f t="shared" si="1"/>
        <v>58.41555528</v>
      </c>
      <c r="N161" s="11">
        <f>_xlfn.RANK.EQ(M161,KabKota[Rata-rata Skor])</f>
        <v>160</v>
      </c>
      <c r="O161" s="6">
        <f>COUNTIFS(KabKota[Regional], B161, KabKota[Rata-rata Skor], "&gt;"&amp;M161) + 1</f>
        <v>63</v>
      </c>
    </row>
    <row r="162" ht="22.5" customHeight="1">
      <c r="A162" s="5">
        <v>142.0</v>
      </c>
      <c r="B162" s="5" t="s">
        <v>70</v>
      </c>
      <c r="C162" s="5" t="s">
        <v>44</v>
      </c>
      <c r="D162" s="5" t="s">
        <v>226</v>
      </c>
      <c r="E162" s="7">
        <v>75.29</v>
      </c>
      <c r="F162" s="8">
        <v>0.102</v>
      </c>
      <c r="G162" s="7">
        <f>VLOOKUP(C162,Provinsi[[#ALL],[Daerah]:[IDI]],4,0)</f>
        <v>6.06</v>
      </c>
      <c r="H162" s="9">
        <f>VLOOKUP(C162,Provinsi[[#ALL],[Daerah]:[IDI]],5,0)</f>
        <v>81.91</v>
      </c>
      <c r="I162" s="9">
        <f>(E162 - MIN(KabKota[IPM])) / (MAX(KabKota[IPM]) - MIN(KabKota[IPM])) * 100</f>
        <v>71.01626016</v>
      </c>
      <c r="J162" s="9">
        <f>(F162 - MIN(KabKota[IKF])) / (MAX(KabKota[IKF]) - MIN(KabKota[IKF])) * 100</f>
        <v>12.75</v>
      </c>
      <c r="K162" s="9">
        <f>(G162 - MIN(KabKota[TIK])) / (MAX(KabKota[TIK]) - MIN(KabKota[TIK])) * 100</f>
        <v>57.87037037</v>
      </c>
      <c r="L162" s="9">
        <f>(H162 - MIN(KabKota[IDI])) / (MAX(KabKota[IDI]) - MIN(KabKota[IDI])) * 100</f>
        <v>91.77591036</v>
      </c>
      <c r="M162" s="9">
        <f t="shared" si="1"/>
        <v>58.35313522</v>
      </c>
      <c r="N162" s="11">
        <f>_xlfn.RANK.EQ(M162,KabKota[Rata-rata Skor])</f>
        <v>161</v>
      </c>
      <c r="O162" s="6">
        <f>COUNTIFS(KabKota[Regional], B162, KabKota[Rata-rata Skor], "&gt;"&amp;M162) + 1</f>
        <v>39</v>
      </c>
    </row>
    <row r="163" ht="22.5" customHeight="1">
      <c r="A163" s="5">
        <v>127.0</v>
      </c>
      <c r="B163" s="5" t="s">
        <v>70</v>
      </c>
      <c r="C163" s="5" t="s">
        <v>43</v>
      </c>
      <c r="D163" s="5" t="s">
        <v>227</v>
      </c>
      <c r="E163" s="7">
        <v>74.86</v>
      </c>
      <c r="F163" s="8">
        <v>0.217</v>
      </c>
      <c r="G163" s="7">
        <f>VLOOKUP(C163,Provinsi[[#ALL],[Daerah]:[IDI]],4,0)</f>
        <v>5.91</v>
      </c>
      <c r="H163" s="9">
        <f>VLOOKUP(C163,Provinsi[[#ALL],[Daerah]:[IDI]],5,0)</f>
        <v>72.62</v>
      </c>
      <c r="I163" s="9">
        <f>(E163 - MIN(KabKota[IPM])) / (MAX(KabKota[IPM]) - MIN(KabKota[IPM])) * 100</f>
        <v>70.14227642</v>
      </c>
      <c r="J163" s="9">
        <f>(F163 - MIN(KabKota[IKF])) / (MAX(KabKota[IKF]) - MIN(KabKota[IKF])) * 100</f>
        <v>27.125</v>
      </c>
      <c r="K163" s="9">
        <f>(G163 - MIN(KabKota[TIK])) / (MAX(KabKota[TIK]) - MIN(KabKota[TIK])) * 100</f>
        <v>54.39814815</v>
      </c>
      <c r="L163" s="9">
        <f>(H163 - MIN(KabKota[IDI])) / (MAX(KabKota[IDI]) - MIN(KabKota[IDI])) * 100</f>
        <v>81.36694678</v>
      </c>
      <c r="M163" s="9">
        <f t="shared" si="1"/>
        <v>58.25809284</v>
      </c>
      <c r="N163" s="11">
        <f>_xlfn.RANK.EQ(M163,KabKota[Rata-rata Skor])</f>
        <v>162</v>
      </c>
      <c r="O163" s="6">
        <f>COUNTIFS(KabKota[Regional], B163, KabKota[Rata-rata Skor], "&gt;"&amp;M163) + 1</f>
        <v>40</v>
      </c>
    </row>
    <row r="164" ht="22.5" customHeight="1">
      <c r="A164" s="5">
        <v>45.0</v>
      </c>
      <c r="B164" s="5" t="s">
        <v>70</v>
      </c>
      <c r="C164" s="5" t="s">
        <v>21</v>
      </c>
      <c r="D164" s="5" t="s">
        <v>228</v>
      </c>
      <c r="E164" s="7">
        <v>75.74</v>
      </c>
      <c r="F164" s="8">
        <v>0.081</v>
      </c>
      <c r="G164" s="7">
        <f>VLOOKUP(C164,Provinsi[[#ALL],[Daerah]:[IDI]],4,0)</f>
        <v>6.2</v>
      </c>
      <c r="H164" s="9">
        <f>VLOOKUP(C164,Provinsi[[#ALL],[Daerah]:[IDI]],5,0)</f>
        <v>80.19</v>
      </c>
      <c r="I164" s="9">
        <f>(E164 - MIN(KabKota[IPM])) / (MAX(KabKota[IPM]) - MIN(KabKota[IPM])) * 100</f>
        <v>71.93089431</v>
      </c>
      <c r="J164" s="9">
        <f>(F164 - MIN(KabKota[IKF])) / (MAX(KabKota[IKF]) - MIN(KabKota[IKF])) * 100</f>
        <v>10.125</v>
      </c>
      <c r="K164" s="9">
        <f>(G164 - MIN(KabKota[TIK])) / (MAX(KabKota[TIK]) - MIN(KabKota[TIK])) * 100</f>
        <v>61.11111111</v>
      </c>
      <c r="L164" s="9">
        <f>(H164 - MIN(KabKota[IDI])) / (MAX(KabKota[IDI]) - MIN(KabKota[IDI])) * 100</f>
        <v>89.8487395</v>
      </c>
      <c r="M164" s="9">
        <f t="shared" si="1"/>
        <v>58.25393623</v>
      </c>
      <c r="N164" s="11">
        <f>_xlfn.RANK.EQ(M164,KabKota[Rata-rata Skor])</f>
        <v>163</v>
      </c>
      <c r="O164" s="6">
        <f>COUNTIFS(KabKota[Regional], B164, KabKota[Rata-rata Skor], "&gt;"&amp;M164) + 1</f>
        <v>41</v>
      </c>
    </row>
    <row r="165" ht="22.5" customHeight="1">
      <c r="A165" s="5">
        <v>46.0</v>
      </c>
      <c r="B165" s="5" t="s">
        <v>70</v>
      </c>
      <c r="C165" s="5" t="s">
        <v>21</v>
      </c>
      <c r="D165" s="5" t="s">
        <v>229</v>
      </c>
      <c r="E165" s="7">
        <v>76.71</v>
      </c>
      <c r="F165" s="8">
        <v>0.065</v>
      </c>
      <c r="G165" s="7">
        <f>VLOOKUP(C165,Provinsi[[#ALL],[Daerah]:[IDI]],4,0)</f>
        <v>6.2</v>
      </c>
      <c r="H165" s="9">
        <f>VLOOKUP(C165,Provinsi[[#ALL],[Daerah]:[IDI]],5,0)</f>
        <v>80.19</v>
      </c>
      <c r="I165" s="9">
        <f>(E165 - MIN(KabKota[IPM])) / (MAX(KabKota[IPM]) - MIN(KabKota[IPM])) * 100</f>
        <v>73.90243902</v>
      </c>
      <c r="J165" s="9">
        <f>(F165 - MIN(KabKota[IKF])) / (MAX(KabKota[IKF]) - MIN(KabKota[IKF])) * 100</f>
        <v>8.125</v>
      </c>
      <c r="K165" s="9">
        <f>(G165 - MIN(KabKota[TIK])) / (MAX(KabKota[TIK]) - MIN(KabKota[TIK])) * 100</f>
        <v>61.11111111</v>
      </c>
      <c r="L165" s="9">
        <f>(H165 - MIN(KabKota[IDI])) / (MAX(KabKota[IDI]) - MIN(KabKota[IDI])) * 100</f>
        <v>89.8487395</v>
      </c>
      <c r="M165" s="9">
        <f t="shared" si="1"/>
        <v>58.24682241</v>
      </c>
      <c r="N165" s="11">
        <f>_xlfn.RANK.EQ(M165,KabKota[Rata-rata Skor])</f>
        <v>164</v>
      </c>
      <c r="O165" s="6">
        <f>COUNTIFS(KabKota[Regional], B165, KabKota[Rata-rata Skor], "&gt;"&amp;M165) + 1</f>
        <v>42</v>
      </c>
    </row>
    <row r="166" ht="22.5" customHeight="1">
      <c r="A166" s="5">
        <v>346.0</v>
      </c>
      <c r="B166" s="5" t="s">
        <v>77</v>
      </c>
      <c r="C166" s="5" t="s">
        <v>41</v>
      </c>
      <c r="D166" s="5" t="s">
        <v>230</v>
      </c>
      <c r="E166" s="7">
        <v>72.05</v>
      </c>
      <c r="F166" s="8">
        <v>0.136</v>
      </c>
      <c r="G166" s="7">
        <f>VLOOKUP(C166,Provinsi[[#ALL],[Daerah]:[IDI]],4,0)</f>
        <v>6.13</v>
      </c>
      <c r="H166" s="9">
        <f>VLOOKUP(C166,Provinsi[[#ALL],[Daerah]:[IDI]],5,0)</f>
        <v>81.91</v>
      </c>
      <c r="I166" s="9">
        <f>(E166 - MIN(KabKota[IPM])) / (MAX(KabKota[IPM]) - MIN(KabKota[IPM])) * 100</f>
        <v>64.43089431</v>
      </c>
      <c r="J166" s="9">
        <f>(F166 - MIN(KabKota[IKF])) / (MAX(KabKota[IKF]) - MIN(KabKota[IKF])) * 100</f>
        <v>17</v>
      </c>
      <c r="K166" s="9">
        <f>(G166 - MIN(KabKota[TIK])) / (MAX(KabKota[TIK]) - MIN(KabKota[TIK])) * 100</f>
        <v>59.49074074</v>
      </c>
      <c r="L166" s="9">
        <f>(H166 - MIN(KabKota[IDI])) / (MAX(KabKota[IDI]) - MIN(KabKota[IDI])) * 100</f>
        <v>91.77591036</v>
      </c>
      <c r="M166" s="9">
        <f t="shared" si="1"/>
        <v>58.17438635</v>
      </c>
      <c r="N166" s="11">
        <f>_xlfn.RANK.EQ(M166,KabKota[Rata-rata Skor])</f>
        <v>165</v>
      </c>
      <c r="O166" s="6">
        <f>COUNTIFS(KabKota[Regional], B166, KabKota[Rata-rata Skor], "&gt;"&amp;M166) + 1</f>
        <v>30</v>
      </c>
    </row>
    <row r="167" ht="22.5" customHeight="1">
      <c r="A167" s="5">
        <v>201.0</v>
      </c>
      <c r="B167" s="5" t="s">
        <v>63</v>
      </c>
      <c r="C167" s="5" t="s">
        <v>30</v>
      </c>
      <c r="D167" s="5" t="s">
        <v>231</v>
      </c>
      <c r="E167" s="7">
        <v>76.38</v>
      </c>
      <c r="F167" s="8">
        <v>0.058</v>
      </c>
      <c r="G167" s="7">
        <f>VLOOKUP(C167,Provinsi[[#ALL],[Daerah]:[IDI]],4,0)</f>
        <v>5.98</v>
      </c>
      <c r="H167" s="9">
        <f>VLOOKUP(C167,Provinsi[[#ALL],[Daerah]:[IDI]],5,0)</f>
        <v>85.84</v>
      </c>
      <c r="I167" s="9">
        <f>(E167 - MIN(KabKota[IPM])) / (MAX(KabKota[IPM]) - MIN(KabKota[IPM])) * 100</f>
        <v>73.23170732</v>
      </c>
      <c r="J167" s="9">
        <f>(F167 - MIN(KabKota[IKF])) / (MAX(KabKota[IKF]) - MIN(KabKota[IKF])) * 100</f>
        <v>7.25</v>
      </c>
      <c r="K167" s="9">
        <f>(G167 - MIN(KabKota[TIK])) / (MAX(KabKota[TIK]) - MIN(KabKota[TIK])) * 100</f>
        <v>56.01851852</v>
      </c>
      <c r="L167" s="9">
        <f>(H167 - MIN(KabKota[IDI])) / (MAX(KabKota[IDI]) - MIN(KabKota[IDI])) * 100</f>
        <v>96.17927171</v>
      </c>
      <c r="M167" s="9">
        <f t="shared" si="1"/>
        <v>58.16987439</v>
      </c>
      <c r="N167" s="11">
        <f>_xlfn.RANK.EQ(M167,KabKota[Rata-rata Skor])</f>
        <v>166</v>
      </c>
      <c r="O167" s="6">
        <f>COUNTIFS(KabKota[Regional], B167, KabKota[Rata-rata Skor], "&gt;"&amp;M167) + 1</f>
        <v>64</v>
      </c>
    </row>
    <row r="168" ht="22.5" customHeight="1">
      <c r="A168" s="5">
        <v>171.0</v>
      </c>
      <c r="B168" s="5" t="s">
        <v>63</v>
      </c>
      <c r="C168" s="5" t="s">
        <v>19</v>
      </c>
      <c r="D168" s="5" t="s">
        <v>232</v>
      </c>
      <c r="E168" s="7">
        <v>75.5</v>
      </c>
      <c r="F168" s="8">
        <v>0.033</v>
      </c>
      <c r="G168" s="7">
        <f>VLOOKUP(C168,Provinsi[[#ALL],[Daerah]:[IDI]],4,0)</f>
        <v>6.33</v>
      </c>
      <c r="H168" s="9">
        <f>VLOOKUP(C168,Provinsi[[#ALL],[Daerah]:[IDI]],5,0)</f>
        <v>82.8</v>
      </c>
      <c r="I168" s="9">
        <f>(E168 - MIN(KabKota[IPM])) / (MAX(KabKota[IPM]) - MIN(KabKota[IPM])) * 100</f>
        <v>71.44308943</v>
      </c>
      <c r="J168" s="9">
        <f>(F168 - MIN(KabKota[IKF])) / (MAX(KabKota[IKF]) - MIN(KabKota[IKF])) * 100</f>
        <v>4.125</v>
      </c>
      <c r="K168" s="9">
        <f>(G168 - MIN(KabKota[TIK])) / (MAX(KabKota[TIK]) - MIN(KabKota[TIK])) * 100</f>
        <v>64.12037037</v>
      </c>
      <c r="L168" s="9">
        <f>(H168 - MIN(KabKota[IDI])) / (MAX(KabKota[IDI]) - MIN(KabKota[IDI])) * 100</f>
        <v>92.77310924</v>
      </c>
      <c r="M168" s="9">
        <f t="shared" si="1"/>
        <v>58.11539226</v>
      </c>
      <c r="N168" s="11">
        <f>_xlfn.RANK.EQ(M168,KabKota[Rata-rata Skor])</f>
        <v>167</v>
      </c>
      <c r="O168" s="6">
        <f>COUNTIFS(KabKota[Regional], B168, KabKota[Rata-rata Skor], "&gt;"&amp;M168) + 1</f>
        <v>65</v>
      </c>
    </row>
    <row r="169" ht="22.5" customHeight="1">
      <c r="A169" s="5">
        <v>55.0</v>
      </c>
      <c r="B169" s="5" t="s">
        <v>70</v>
      </c>
      <c r="C169" s="5" t="s">
        <v>21</v>
      </c>
      <c r="D169" s="5" t="s">
        <v>233</v>
      </c>
      <c r="E169" s="7">
        <v>79.19</v>
      </c>
      <c r="F169" s="8">
        <v>0.018</v>
      </c>
      <c r="G169" s="7">
        <f>VLOOKUP(C169,Provinsi[[#ALL],[Daerah]:[IDI]],4,0)</f>
        <v>6.2</v>
      </c>
      <c r="H169" s="9">
        <f>VLOOKUP(C169,Provinsi[[#ALL],[Daerah]:[IDI]],5,0)</f>
        <v>80.19</v>
      </c>
      <c r="I169" s="9">
        <f>(E169 - MIN(KabKota[IPM])) / (MAX(KabKota[IPM]) - MIN(KabKota[IPM])) * 100</f>
        <v>78.94308943</v>
      </c>
      <c r="J169" s="9">
        <f>(F169 - MIN(KabKota[IKF])) / (MAX(KabKota[IKF]) - MIN(KabKota[IKF])) * 100</f>
        <v>2.25</v>
      </c>
      <c r="K169" s="9">
        <f>(G169 - MIN(KabKota[TIK])) / (MAX(KabKota[TIK]) - MIN(KabKota[TIK])) * 100</f>
        <v>61.11111111</v>
      </c>
      <c r="L169" s="9">
        <f>(H169 - MIN(KabKota[IDI])) / (MAX(KabKota[IDI]) - MIN(KabKota[IDI])) * 100</f>
        <v>89.8487395</v>
      </c>
      <c r="M169" s="9">
        <f t="shared" si="1"/>
        <v>58.03823501</v>
      </c>
      <c r="N169" s="11">
        <f>_xlfn.RANK.EQ(M169,KabKota[Rata-rata Skor])</f>
        <v>168</v>
      </c>
      <c r="O169" s="6">
        <f>COUNTIFS(KabKota[Regional], B169, KabKota[Rata-rata Skor], "&gt;"&amp;M169) + 1</f>
        <v>43</v>
      </c>
    </row>
    <row r="170" ht="22.5" customHeight="1">
      <c r="A170" s="5">
        <v>418.0</v>
      </c>
      <c r="B170" s="5" t="s">
        <v>75</v>
      </c>
      <c r="C170" s="5" t="s">
        <v>32</v>
      </c>
      <c r="D170" s="5" t="s">
        <v>234</v>
      </c>
      <c r="E170" s="7">
        <v>77.28</v>
      </c>
      <c r="F170" s="8">
        <v>0.053</v>
      </c>
      <c r="G170" s="7">
        <f>VLOOKUP(C170,Provinsi[[#ALL],[Daerah]:[IDI]],4,0)</f>
        <v>6.21</v>
      </c>
      <c r="H170" s="9">
        <f>VLOOKUP(C170,Provinsi[[#ALL],[Daerah]:[IDI]],5,0)</f>
        <v>78.93</v>
      </c>
      <c r="I170" s="9">
        <f>(E170 - MIN(KabKota[IPM])) / (MAX(KabKota[IPM]) - MIN(KabKota[IPM])) * 100</f>
        <v>75.06097561</v>
      </c>
      <c r="J170" s="9">
        <f>(F170 - MIN(KabKota[IKF])) / (MAX(KabKota[IKF]) - MIN(KabKota[IKF])) * 100</f>
        <v>6.625</v>
      </c>
      <c r="K170" s="9">
        <f>(G170 - MIN(KabKota[TIK])) / (MAX(KabKota[TIK]) - MIN(KabKota[TIK])) * 100</f>
        <v>61.34259259</v>
      </c>
      <c r="L170" s="9">
        <f>(H170 - MIN(KabKota[IDI])) / (MAX(KabKota[IDI]) - MIN(KabKota[IDI])) * 100</f>
        <v>88.43697479</v>
      </c>
      <c r="M170" s="9">
        <f t="shared" si="1"/>
        <v>57.86638575</v>
      </c>
      <c r="N170" s="11">
        <f>_xlfn.RANK.EQ(M170,KabKota[Rata-rata Skor])</f>
        <v>169</v>
      </c>
      <c r="O170" s="6">
        <f>COUNTIFS(KabKota[Regional], B170, KabKota[Rata-rata Skor], "&gt;"&amp;M170) + 1</f>
        <v>17</v>
      </c>
    </row>
    <row r="171" ht="22.5" customHeight="1">
      <c r="A171" s="5">
        <v>246.0</v>
      </c>
      <c r="B171" s="5" t="s">
        <v>63</v>
      </c>
      <c r="C171" s="5" t="s">
        <v>23</v>
      </c>
      <c r="D171" s="5" t="s">
        <v>235</v>
      </c>
      <c r="E171" s="7">
        <v>75.47</v>
      </c>
      <c r="F171" s="8">
        <v>0.061</v>
      </c>
      <c r="G171" s="7">
        <f>VLOOKUP(C171,Provinsi[[#ALL],[Daerah]:[IDI]],4,0)</f>
        <v>6.07</v>
      </c>
      <c r="H171" s="9">
        <f>VLOOKUP(C171,Provinsi[[#ALL],[Daerah]:[IDI]],5,0)</f>
        <v>84.17</v>
      </c>
      <c r="I171" s="9">
        <f>(E171 - MIN(KabKota[IPM])) / (MAX(KabKota[IPM]) - MIN(KabKota[IPM])) * 100</f>
        <v>71.38211382</v>
      </c>
      <c r="J171" s="9">
        <f>(F171 - MIN(KabKota[IKF])) / (MAX(KabKota[IKF]) - MIN(KabKota[IKF])) * 100</f>
        <v>7.625</v>
      </c>
      <c r="K171" s="9">
        <f>(G171 - MIN(KabKota[TIK])) / (MAX(KabKota[TIK]) - MIN(KabKota[TIK])) * 100</f>
        <v>58.10185185</v>
      </c>
      <c r="L171" s="9">
        <f>(H171 - MIN(KabKota[IDI])) / (MAX(KabKota[IDI]) - MIN(KabKota[IDI])) * 100</f>
        <v>94.30812325</v>
      </c>
      <c r="M171" s="9">
        <f t="shared" si="1"/>
        <v>57.85427223</v>
      </c>
      <c r="N171" s="11">
        <f>_xlfn.RANK.EQ(M171,KabKota[Rata-rata Skor])</f>
        <v>170</v>
      </c>
      <c r="O171" s="6">
        <f>COUNTIFS(KabKota[Regional], B171, KabKota[Rata-rata Skor], "&gt;"&amp;M171) + 1</f>
        <v>66</v>
      </c>
    </row>
    <row r="172" ht="22.5" customHeight="1">
      <c r="A172" s="5">
        <v>162.0</v>
      </c>
      <c r="B172" s="5" t="s">
        <v>63</v>
      </c>
      <c r="C172" s="5" t="s">
        <v>19</v>
      </c>
      <c r="D172" s="5" t="s">
        <v>236</v>
      </c>
      <c r="E172" s="7">
        <v>71.13</v>
      </c>
      <c r="F172" s="8">
        <v>0.095</v>
      </c>
      <c r="G172" s="7">
        <f>VLOOKUP(C172,Provinsi[[#ALL],[Daerah]:[IDI]],4,0)</f>
        <v>6.33</v>
      </c>
      <c r="H172" s="9">
        <f>VLOOKUP(C172,Provinsi[[#ALL],[Daerah]:[IDI]],5,0)</f>
        <v>82.8</v>
      </c>
      <c r="I172" s="9">
        <f>(E172 - MIN(KabKota[IPM])) / (MAX(KabKota[IPM]) - MIN(KabKota[IPM])) * 100</f>
        <v>62.56097561</v>
      </c>
      <c r="J172" s="9">
        <f>(F172 - MIN(KabKota[IKF])) / (MAX(KabKota[IKF]) - MIN(KabKota[IKF])) * 100</f>
        <v>11.875</v>
      </c>
      <c r="K172" s="9">
        <f>(G172 - MIN(KabKota[TIK])) / (MAX(KabKota[TIK]) - MIN(KabKota[TIK])) * 100</f>
        <v>64.12037037</v>
      </c>
      <c r="L172" s="9">
        <f>(H172 - MIN(KabKota[IDI])) / (MAX(KabKota[IDI]) - MIN(KabKota[IDI])) * 100</f>
        <v>92.77310924</v>
      </c>
      <c r="M172" s="9">
        <f t="shared" si="1"/>
        <v>57.83236381</v>
      </c>
      <c r="N172" s="11">
        <f>_xlfn.RANK.EQ(M172,KabKota[Rata-rata Skor])</f>
        <v>171</v>
      </c>
      <c r="O172" s="6">
        <f>COUNTIFS(KabKota[Regional], B172, KabKota[Rata-rata Skor], "&gt;"&amp;M172) + 1</f>
        <v>67</v>
      </c>
    </row>
    <row r="173" ht="22.5" customHeight="1">
      <c r="A173" s="5">
        <v>207.0</v>
      </c>
      <c r="B173" s="5" t="s">
        <v>63</v>
      </c>
      <c r="C173" s="5" t="s">
        <v>30</v>
      </c>
      <c r="D173" s="5" t="s">
        <v>237</v>
      </c>
      <c r="E173" s="7">
        <v>74.9</v>
      </c>
      <c r="F173" s="8">
        <v>0.071</v>
      </c>
      <c r="G173" s="7">
        <f>VLOOKUP(C173,Provinsi[[#ALL],[Daerah]:[IDI]],4,0)</f>
        <v>5.98</v>
      </c>
      <c r="H173" s="9">
        <f>VLOOKUP(C173,Provinsi[[#ALL],[Daerah]:[IDI]],5,0)</f>
        <v>85.84</v>
      </c>
      <c r="I173" s="9">
        <f>(E173 - MIN(KabKota[IPM])) / (MAX(KabKota[IPM]) - MIN(KabKota[IPM])) * 100</f>
        <v>70.22357724</v>
      </c>
      <c r="J173" s="9">
        <f>(F173 - MIN(KabKota[IKF])) / (MAX(KabKota[IKF]) - MIN(KabKota[IKF])) * 100</f>
        <v>8.875</v>
      </c>
      <c r="K173" s="9">
        <f>(G173 - MIN(KabKota[TIK])) / (MAX(KabKota[TIK]) - MIN(KabKota[TIK])) * 100</f>
        <v>56.01851852</v>
      </c>
      <c r="L173" s="9">
        <f>(H173 - MIN(KabKota[IDI])) / (MAX(KabKota[IDI]) - MIN(KabKota[IDI])) * 100</f>
        <v>96.17927171</v>
      </c>
      <c r="M173" s="9">
        <f t="shared" si="1"/>
        <v>57.82409187</v>
      </c>
      <c r="N173" s="11">
        <f>_xlfn.RANK.EQ(M173,KabKota[Rata-rata Skor])</f>
        <v>172</v>
      </c>
      <c r="O173" s="6">
        <f>COUNTIFS(KabKota[Regional], B173, KabKota[Rata-rata Skor], "&gt;"&amp;M173) + 1</f>
        <v>68</v>
      </c>
    </row>
    <row r="174" ht="22.5" customHeight="1">
      <c r="A174" s="5">
        <v>20.0</v>
      </c>
      <c r="B174" s="5" t="s">
        <v>70</v>
      </c>
      <c r="C174" s="5" t="s">
        <v>36</v>
      </c>
      <c r="D174" s="5" t="s">
        <v>238</v>
      </c>
      <c r="E174" s="7">
        <v>80.04</v>
      </c>
      <c r="F174" s="8">
        <v>0.079</v>
      </c>
      <c r="G174" s="7">
        <f>VLOOKUP(C174,Provinsi[[#ALL],[Daerah]:[IDI]],4,0)</f>
        <v>5.97</v>
      </c>
      <c r="H174" s="9">
        <f>VLOOKUP(C174,Provinsi[[#ALL],[Daerah]:[IDI]],5,0)</f>
        <v>75.8</v>
      </c>
      <c r="I174" s="9">
        <f>(E174 - MIN(KabKota[IPM])) / (MAX(KabKota[IPM]) - MIN(KabKota[IPM])) * 100</f>
        <v>80.67073171</v>
      </c>
      <c r="J174" s="9">
        <f>(F174 - MIN(KabKota[IKF])) / (MAX(KabKota[IKF]) - MIN(KabKota[IKF])) * 100</f>
        <v>9.875</v>
      </c>
      <c r="K174" s="9">
        <f>(G174 - MIN(KabKota[TIK])) / (MAX(KabKota[TIK]) - MIN(KabKota[TIK])) * 100</f>
        <v>55.78703704</v>
      </c>
      <c r="L174" s="9">
        <f>(H174 - MIN(KabKota[IDI])) / (MAX(KabKota[IDI]) - MIN(KabKota[IDI])) * 100</f>
        <v>84.92997199</v>
      </c>
      <c r="M174" s="9">
        <f t="shared" si="1"/>
        <v>57.81568518</v>
      </c>
      <c r="N174" s="11">
        <f>_xlfn.RANK.EQ(M174,KabKota[Rata-rata Skor])</f>
        <v>173</v>
      </c>
      <c r="O174" s="6">
        <f>COUNTIFS(KabKota[Regional], B174, KabKota[Rata-rata Skor], "&gt;"&amp;M174) + 1</f>
        <v>44</v>
      </c>
    </row>
    <row r="175" ht="22.5" customHeight="1">
      <c r="A175" s="5">
        <v>4.0</v>
      </c>
      <c r="B175" s="5" t="s">
        <v>70</v>
      </c>
      <c r="C175" s="5" t="s">
        <v>36</v>
      </c>
      <c r="D175" s="5" t="s">
        <v>239</v>
      </c>
      <c r="E175" s="7">
        <v>78.09</v>
      </c>
      <c r="F175" s="8">
        <v>0.109</v>
      </c>
      <c r="G175" s="7">
        <f>VLOOKUP(C175,Provinsi[[#ALL],[Daerah]:[IDI]],4,0)</f>
        <v>5.97</v>
      </c>
      <c r="H175" s="9">
        <f>VLOOKUP(C175,Provinsi[[#ALL],[Daerah]:[IDI]],5,0)</f>
        <v>75.8</v>
      </c>
      <c r="I175" s="9">
        <f>(E175 - MIN(KabKota[IPM])) / (MAX(KabKota[IPM]) - MIN(KabKota[IPM])) * 100</f>
        <v>76.70731707</v>
      </c>
      <c r="J175" s="9">
        <f>(F175 - MIN(KabKota[IKF])) / (MAX(KabKota[IKF]) - MIN(KabKota[IKF])) * 100</f>
        <v>13.625</v>
      </c>
      <c r="K175" s="9">
        <f>(G175 - MIN(KabKota[TIK])) / (MAX(KabKota[TIK]) - MIN(KabKota[TIK])) * 100</f>
        <v>55.78703704</v>
      </c>
      <c r="L175" s="9">
        <f>(H175 - MIN(KabKota[IDI])) / (MAX(KabKota[IDI]) - MIN(KabKota[IDI])) * 100</f>
        <v>84.92997199</v>
      </c>
      <c r="M175" s="9">
        <f t="shared" si="1"/>
        <v>57.76233152</v>
      </c>
      <c r="N175" s="11">
        <f>_xlfn.RANK.EQ(M175,KabKota[Rata-rata Skor])</f>
        <v>174</v>
      </c>
      <c r="O175" s="6">
        <f>COUNTIFS(KabKota[Regional], B175, KabKota[Rata-rata Skor], "&gt;"&amp;M175) + 1</f>
        <v>45</v>
      </c>
    </row>
    <row r="176" ht="22.5" customHeight="1">
      <c r="A176" s="5">
        <v>193.0</v>
      </c>
      <c r="B176" s="5" t="s">
        <v>63</v>
      </c>
      <c r="C176" s="5" t="s">
        <v>30</v>
      </c>
      <c r="D176" s="5" t="s">
        <v>240</v>
      </c>
      <c r="E176" s="7">
        <v>75.93</v>
      </c>
      <c r="F176" s="8">
        <v>0.051</v>
      </c>
      <c r="G176" s="7">
        <f>VLOOKUP(C176,Provinsi[[#ALL],[Daerah]:[IDI]],4,0)</f>
        <v>5.98</v>
      </c>
      <c r="H176" s="9">
        <f>VLOOKUP(C176,Provinsi[[#ALL],[Daerah]:[IDI]],5,0)</f>
        <v>85.84</v>
      </c>
      <c r="I176" s="9">
        <f>(E176 - MIN(KabKota[IPM])) / (MAX(KabKota[IPM]) - MIN(KabKota[IPM])) * 100</f>
        <v>72.31707317</v>
      </c>
      <c r="J176" s="9">
        <f>(F176 - MIN(KabKota[IKF])) / (MAX(KabKota[IKF]) - MIN(KabKota[IKF])) * 100</f>
        <v>6.375</v>
      </c>
      <c r="K176" s="9">
        <f>(G176 - MIN(KabKota[TIK])) / (MAX(KabKota[TIK]) - MIN(KabKota[TIK])) * 100</f>
        <v>56.01851852</v>
      </c>
      <c r="L176" s="9">
        <f>(H176 - MIN(KabKota[IDI])) / (MAX(KabKota[IDI]) - MIN(KabKota[IDI])) * 100</f>
        <v>96.17927171</v>
      </c>
      <c r="M176" s="9">
        <f t="shared" si="1"/>
        <v>57.72246585</v>
      </c>
      <c r="N176" s="11">
        <f>_xlfn.RANK.EQ(M176,KabKota[Rata-rata Skor])</f>
        <v>175</v>
      </c>
      <c r="O176" s="6">
        <f>COUNTIFS(KabKota[Regional], B176, KabKota[Rata-rata Skor], "&gt;"&amp;M176) + 1</f>
        <v>69</v>
      </c>
    </row>
    <row r="177" ht="22.5" customHeight="1">
      <c r="A177" s="5">
        <v>256.0</v>
      </c>
      <c r="B177" s="5" t="s">
        <v>63</v>
      </c>
      <c r="C177" s="5" t="s">
        <v>23</v>
      </c>
      <c r="D177" s="5" t="s">
        <v>241</v>
      </c>
      <c r="E177" s="7">
        <v>70.54</v>
      </c>
      <c r="F177" s="8">
        <v>0.136</v>
      </c>
      <c r="G177" s="7">
        <f>VLOOKUP(C177,Provinsi[[#ALL],[Daerah]:[IDI]],4,0)</f>
        <v>6.07</v>
      </c>
      <c r="H177" s="9">
        <f>VLOOKUP(C177,Provinsi[[#ALL],[Daerah]:[IDI]],5,0)</f>
        <v>84.17</v>
      </c>
      <c r="I177" s="9">
        <f>(E177 - MIN(KabKota[IPM])) / (MAX(KabKota[IPM]) - MIN(KabKota[IPM])) * 100</f>
        <v>61.36178862</v>
      </c>
      <c r="J177" s="9">
        <f>(F177 - MIN(KabKota[IKF])) / (MAX(KabKota[IKF]) - MIN(KabKota[IKF])) * 100</f>
        <v>17</v>
      </c>
      <c r="K177" s="9">
        <f>(G177 - MIN(KabKota[TIK])) / (MAX(KabKota[TIK]) - MIN(KabKota[TIK])) * 100</f>
        <v>58.10185185</v>
      </c>
      <c r="L177" s="9">
        <f>(H177 - MIN(KabKota[IDI])) / (MAX(KabKota[IDI]) - MIN(KabKota[IDI])) * 100</f>
        <v>94.30812325</v>
      </c>
      <c r="M177" s="9">
        <f t="shared" si="1"/>
        <v>57.69294093</v>
      </c>
      <c r="N177" s="11">
        <f>_xlfn.RANK.EQ(M177,KabKota[Rata-rata Skor])</f>
        <v>176</v>
      </c>
      <c r="O177" s="6">
        <f>COUNTIFS(KabKota[Regional], B177, KabKota[Rata-rata Skor], "&gt;"&amp;M177) + 1</f>
        <v>70</v>
      </c>
    </row>
    <row r="178" ht="22.5" customHeight="1">
      <c r="A178" s="5">
        <v>316.0</v>
      </c>
      <c r="B178" s="5" t="s">
        <v>77</v>
      </c>
      <c r="C178" s="5" t="s">
        <v>35</v>
      </c>
      <c r="D178" s="5" t="s">
        <v>242</v>
      </c>
      <c r="E178" s="7">
        <v>70.59</v>
      </c>
      <c r="F178" s="8">
        <v>0.148</v>
      </c>
      <c r="G178" s="7">
        <f>VLOOKUP(C178,Provinsi[[#ALL],[Daerah]:[IDI]],4,0)</f>
        <v>5.9</v>
      </c>
      <c r="H178" s="9">
        <f>VLOOKUP(C178,Provinsi[[#ALL],[Daerah]:[IDI]],5,0)</f>
        <v>86.17</v>
      </c>
      <c r="I178" s="9">
        <f>(E178 - MIN(KabKota[IPM])) / (MAX(KabKota[IPM]) - MIN(KabKota[IPM])) * 100</f>
        <v>61.46341463</v>
      </c>
      <c r="J178" s="9">
        <f>(F178 - MIN(KabKota[IKF])) / (MAX(KabKota[IKF]) - MIN(KabKota[IKF])) * 100</f>
        <v>18.5</v>
      </c>
      <c r="K178" s="9">
        <f>(G178 - MIN(KabKota[TIK])) / (MAX(KabKota[TIK]) - MIN(KabKota[TIK])) * 100</f>
        <v>54.16666667</v>
      </c>
      <c r="L178" s="9">
        <f>(H178 - MIN(KabKota[IDI])) / (MAX(KabKota[IDI]) - MIN(KabKota[IDI])) * 100</f>
        <v>96.54901961</v>
      </c>
      <c r="M178" s="9">
        <f t="shared" si="1"/>
        <v>57.66977523</v>
      </c>
      <c r="N178" s="11">
        <f>_xlfn.RANK.EQ(M178,KabKota[Rata-rata Skor])</f>
        <v>177</v>
      </c>
      <c r="O178" s="6">
        <f>COUNTIFS(KabKota[Regional], B178, KabKota[Rata-rata Skor], "&gt;"&amp;M178) + 1</f>
        <v>31</v>
      </c>
    </row>
    <row r="179" ht="22.5" customHeight="1">
      <c r="A179" s="5">
        <v>187.0</v>
      </c>
      <c r="B179" s="5" t="s">
        <v>63</v>
      </c>
      <c r="C179" s="5" t="s">
        <v>19</v>
      </c>
      <c r="D179" s="5" t="s">
        <v>243</v>
      </c>
      <c r="E179" s="7">
        <v>75.54</v>
      </c>
      <c r="F179" s="8">
        <v>0.018</v>
      </c>
      <c r="G179" s="7">
        <f>VLOOKUP(C179,Provinsi[[#ALL],[Daerah]:[IDI]],4,0)</f>
        <v>6.33</v>
      </c>
      <c r="H179" s="9">
        <f>VLOOKUP(C179,Provinsi[[#ALL],[Daerah]:[IDI]],5,0)</f>
        <v>82.8</v>
      </c>
      <c r="I179" s="9">
        <f>(E179 - MIN(KabKota[IPM])) / (MAX(KabKota[IPM]) - MIN(KabKota[IPM])) * 100</f>
        <v>71.52439024</v>
      </c>
      <c r="J179" s="9">
        <f>(F179 - MIN(KabKota[IKF])) / (MAX(KabKota[IKF]) - MIN(KabKota[IKF])) * 100</f>
        <v>2.25</v>
      </c>
      <c r="K179" s="9">
        <f>(G179 - MIN(KabKota[TIK])) / (MAX(KabKota[TIK]) - MIN(KabKota[TIK])) * 100</f>
        <v>64.12037037</v>
      </c>
      <c r="L179" s="9">
        <f>(H179 - MIN(KabKota[IDI])) / (MAX(KabKota[IDI]) - MIN(KabKota[IDI])) * 100</f>
        <v>92.77310924</v>
      </c>
      <c r="M179" s="9">
        <f t="shared" si="1"/>
        <v>57.66696746</v>
      </c>
      <c r="N179" s="11">
        <f>_xlfn.RANK.EQ(M179,KabKota[Rata-rata Skor])</f>
        <v>178</v>
      </c>
      <c r="O179" s="6">
        <f>COUNTIFS(KabKota[Regional], B179, KabKota[Rata-rata Skor], "&gt;"&amp;M179) + 1</f>
        <v>71</v>
      </c>
    </row>
    <row r="180" ht="22.5" customHeight="1">
      <c r="A180" s="5">
        <v>35.0</v>
      </c>
      <c r="B180" s="5" t="s">
        <v>70</v>
      </c>
      <c r="C180" s="5" t="s">
        <v>21</v>
      </c>
      <c r="D180" s="5" t="s">
        <v>244</v>
      </c>
      <c r="E180" s="7">
        <v>79.17</v>
      </c>
      <c r="F180" s="8">
        <v>0.005</v>
      </c>
      <c r="G180" s="7">
        <f>VLOOKUP(C180,Provinsi[[#ALL],[Daerah]:[IDI]],4,0)</f>
        <v>6.2</v>
      </c>
      <c r="H180" s="9">
        <f>VLOOKUP(C180,Provinsi[[#ALL],[Daerah]:[IDI]],5,0)</f>
        <v>80.19</v>
      </c>
      <c r="I180" s="9">
        <f>(E180 - MIN(KabKota[IPM])) / (MAX(KabKota[IPM]) - MIN(KabKota[IPM])) * 100</f>
        <v>78.90243902</v>
      </c>
      <c r="J180" s="9">
        <f>(F180 - MIN(KabKota[IKF])) / (MAX(KabKota[IKF]) - MIN(KabKota[IKF])) * 100</f>
        <v>0.625</v>
      </c>
      <c r="K180" s="9">
        <f>(G180 - MIN(KabKota[TIK])) / (MAX(KabKota[TIK]) - MIN(KabKota[TIK])) * 100</f>
        <v>61.11111111</v>
      </c>
      <c r="L180" s="9">
        <f>(H180 - MIN(KabKota[IDI])) / (MAX(KabKota[IDI]) - MIN(KabKota[IDI])) * 100</f>
        <v>89.8487395</v>
      </c>
      <c r="M180" s="9">
        <f t="shared" si="1"/>
        <v>57.62182241</v>
      </c>
      <c r="N180" s="11">
        <f>_xlfn.RANK.EQ(M180,KabKota[Rata-rata Skor])</f>
        <v>179</v>
      </c>
      <c r="O180" s="6">
        <f>COUNTIFS(KabKota[Regional], B180, KabKota[Rata-rata Skor], "&gt;"&amp;M180) + 1</f>
        <v>46</v>
      </c>
    </row>
    <row r="181" ht="22.5" customHeight="1">
      <c r="A181" s="5">
        <v>22.0</v>
      </c>
      <c r="B181" s="5" t="s">
        <v>70</v>
      </c>
      <c r="C181" s="5" t="s">
        <v>36</v>
      </c>
      <c r="D181" s="5" t="s">
        <v>245</v>
      </c>
      <c r="E181" s="7">
        <v>81.77</v>
      </c>
      <c r="F181" s="8">
        <v>0.044</v>
      </c>
      <c r="G181" s="7">
        <f>VLOOKUP(C181,Provinsi[[#ALL],[Daerah]:[IDI]],4,0)</f>
        <v>5.97</v>
      </c>
      <c r="H181" s="9">
        <f>VLOOKUP(C181,Provinsi[[#ALL],[Daerah]:[IDI]],5,0)</f>
        <v>75.8</v>
      </c>
      <c r="I181" s="9">
        <f>(E181 - MIN(KabKota[IPM])) / (MAX(KabKota[IPM]) - MIN(KabKota[IPM])) * 100</f>
        <v>84.18699187</v>
      </c>
      <c r="J181" s="9">
        <f>(F181 - MIN(KabKota[IKF])) / (MAX(KabKota[IKF]) - MIN(KabKota[IKF])) * 100</f>
        <v>5.5</v>
      </c>
      <c r="K181" s="9">
        <f>(G181 - MIN(KabKota[TIK])) / (MAX(KabKota[TIK]) - MIN(KabKota[TIK])) * 100</f>
        <v>55.78703704</v>
      </c>
      <c r="L181" s="9">
        <f>(H181 - MIN(KabKota[IDI])) / (MAX(KabKota[IDI]) - MIN(KabKota[IDI])) * 100</f>
        <v>84.92997199</v>
      </c>
      <c r="M181" s="9">
        <f t="shared" si="1"/>
        <v>57.60100022</v>
      </c>
      <c r="N181" s="11">
        <f>_xlfn.RANK.EQ(M181,KabKota[Rata-rata Skor])</f>
        <v>180</v>
      </c>
      <c r="O181" s="6">
        <f>COUNTIFS(KabKota[Regional], B181, KabKota[Rata-rata Skor], "&gt;"&amp;M181) + 1</f>
        <v>47</v>
      </c>
    </row>
    <row r="182" ht="22.5" customHeight="1">
      <c r="A182" s="5">
        <v>484.0</v>
      </c>
      <c r="B182" s="5" t="s">
        <v>180</v>
      </c>
      <c r="C182" s="5" t="s">
        <v>26</v>
      </c>
      <c r="D182" s="5" t="s">
        <v>246</v>
      </c>
      <c r="E182" s="7">
        <v>70.32</v>
      </c>
      <c r="F182" s="8">
        <v>0.395</v>
      </c>
      <c r="G182" s="7">
        <f>VLOOKUP(C182,Provinsi[[#ALL],[Daerah]:[IDI]],4,0)</f>
        <v>5.61</v>
      </c>
      <c r="H182" s="9">
        <f>VLOOKUP(C182,Provinsi[[#ALL],[Daerah]:[IDI]],5,0)</f>
        <v>64.74</v>
      </c>
      <c r="I182" s="9">
        <f>(E182 - MIN(KabKota[IPM])) / (MAX(KabKota[IPM]) - MIN(KabKota[IPM])) * 100</f>
        <v>60.91463415</v>
      </c>
      <c r="J182" s="9">
        <f>(F182 - MIN(KabKota[IKF])) / (MAX(KabKota[IKF]) - MIN(KabKota[IKF])) * 100</f>
        <v>49.375</v>
      </c>
      <c r="K182" s="9">
        <f>(G182 - MIN(KabKota[TIK])) / (MAX(KabKota[TIK]) - MIN(KabKota[TIK])) * 100</f>
        <v>47.4537037</v>
      </c>
      <c r="L182" s="9">
        <f>(H182 - MIN(KabKota[IDI])) / (MAX(KabKota[IDI]) - MIN(KabKota[IDI])) * 100</f>
        <v>72.53781513</v>
      </c>
      <c r="M182" s="9">
        <f t="shared" si="1"/>
        <v>57.57028824</v>
      </c>
      <c r="N182" s="11">
        <f>_xlfn.RANK.EQ(M182,KabKota[Rata-rata Skor])</f>
        <v>181</v>
      </c>
      <c r="O182" s="6">
        <f>COUNTIFS(KabKota[Regional], B182, KabKota[Rata-rata Skor], "&gt;"&amp;M182) + 1</f>
        <v>3</v>
      </c>
    </row>
    <row r="183" ht="22.5" customHeight="1">
      <c r="A183" s="5">
        <v>26.0</v>
      </c>
      <c r="B183" s="5" t="s">
        <v>70</v>
      </c>
      <c r="C183" s="5" t="s">
        <v>21</v>
      </c>
      <c r="D183" s="5" t="s">
        <v>247</v>
      </c>
      <c r="E183" s="7">
        <v>75.78</v>
      </c>
      <c r="F183" s="8">
        <v>0.057</v>
      </c>
      <c r="G183" s="7">
        <f>VLOOKUP(C183,Provinsi[[#ALL],[Daerah]:[IDI]],4,0)</f>
        <v>6.2</v>
      </c>
      <c r="H183" s="9">
        <f>VLOOKUP(C183,Provinsi[[#ALL],[Daerah]:[IDI]],5,0)</f>
        <v>80.19</v>
      </c>
      <c r="I183" s="9">
        <f>(E183 - MIN(KabKota[IPM])) / (MAX(KabKota[IPM]) - MIN(KabKota[IPM])) * 100</f>
        <v>72.01219512</v>
      </c>
      <c r="J183" s="9">
        <f>(F183 - MIN(KabKota[IKF])) / (MAX(KabKota[IKF]) - MIN(KabKota[IKF])) * 100</f>
        <v>7.125</v>
      </c>
      <c r="K183" s="9">
        <f>(G183 - MIN(KabKota[TIK])) / (MAX(KabKota[TIK]) - MIN(KabKota[TIK])) * 100</f>
        <v>61.11111111</v>
      </c>
      <c r="L183" s="9">
        <f>(H183 - MIN(KabKota[IDI])) / (MAX(KabKota[IDI]) - MIN(KabKota[IDI])) * 100</f>
        <v>89.8487395</v>
      </c>
      <c r="M183" s="9">
        <f t="shared" si="1"/>
        <v>57.52426143</v>
      </c>
      <c r="N183" s="11">
        <f>_xlfn.RANK.EQ(M183,KabKota[Rata-rata Skor])</f>
        <v>182</v>
      </c>
      <c r="O183" s="6">
        <f>COUNTIFS(KabKota[Regional], B183, KabKota[Rata-rata Skor], "&gt;"&amp;M183) + 1</f>
        <v>48</v>
      </c>
    </row>
    <row r="184" ht="22.5" customHeight="1">
      <c r="A184" s="5">
        <v>409.0</v>
      </c>
      <c r="B184" s="5" t="s">
        <v>75</v>
      </c>
      <c r="C184" s="5" t="s">
        <v>32</v>
      </c>
      <c r="D184" s="5" t="s">
        <v>248</v>
      </c>
      <c r="E184" s="7">
        <v>75.41</v>
      </c>
      <c r="F184" s="8">
        <v>0.071</v>
      </c>
      <c r="G184" s="7">
        <f>VLOOKUP(C184,Provinsi[[#ALL],[Daerah]:[IDI]],4,0)</f>
        <v>6.21</v>
      </c>
      <c r="H184" s="9">
        <f>VLOOKUP(C184,Provinsi[[#ALL],[Daerah]:[IDI]],5,0)</f>
        <v>78.93</v>
      </c>
      <c r="I184" s="9">
        <f>(E184 - MIN(KabKota[IPM])) / (MAX(KabKota[IPM]) - MIN(KabKota[IPM])) * 100</f>
        <v>71.2601626</v>
      </c>
      <c r="J184" s="9">
        <f>(F184 - MIN(KabKota[IKF])) / (MAX(KabKota[IKF]) - MIN(KabKota[IKF])) * 100</f>
        <v>8.875</v>
      </c>
      <c r="K184" s="9">
        <f>(G184 - MIN(KabKota[TIK])) / (MAX(KabKota[TIK]) - MIN(KabKota[TIK])) * 100</f>
        <v>61.34259259</v>
      </c>
      <c r="L184" s="9">
        <f>(H184 - MIN(KabKota[IDI])) / (MAX(KabKota[IDI]) - MIN(KabKota[IDI])) * 100</f>
        <v>88.43697479</v>
      </c>
      <c r="M184" s="9">
        <f t="shared" si="1"/>
        <v>57.4786825</v>
      </c>
      <c r="N184" s="11">
        <f>_xlfn.RANK.EQ(M184,KabKota[Rata-rata Skor])</f>
        <v>183</v>
      </c>
      <c r="O184" s="6">
        <f>COUNTIFS(KabKota[Regional], B184, KabKota[Rata-rata Skor], "&gt;"&amp;M184) + 1</f>
        <v>18</v>
      </c>
    </row>
    <row r="185" ht="22.5" customHeight="1">
      <c r="A185" s="5">
        <v>251.0</v>
      </c>
      <c r="B185" s="5" t="s">
        <v>63</v>
      </c>
      <c r="C185" s="5" t="s">
        <v>23</v>
      </c>
      <c r="D185" s="5" t="s">
        <v>249</v>
      </c>
      <c r="E185" s="7">
        <v>76.81</v>
      </c>
      <c r="F185" s="8">
        <v>0.026</v>
      </c>
      <c r="G185" s="7">
        <f>VLOOKUP(C185,Provinsi[[#ALL],[Daerah]:[IDI]],4,0)</f>
        <v>6.07</v>
      </c>
      <c r="H185" s="9">
        <f>VLOOKUP(C185,Provinsi[[#ALL],[Daerah]:[IDI]],5,0)</f>
        <v>84.17</v>
      </c>
      <c r="I185" s="9">
        <f>(E185 - MIN(KabKota[IPM])) / (MAX(KabKota[IPM]) - MIN(KabKota[IPM])) * 100</f>
        <v>74.10569106</v>
      </c>
      <c r="J185" s="9">
        <f>(F185 - MIN(KabKota[IKF])) / (MAX(KabKota[IKF]) - MIN(KabKota[IKF])) * 100</f>
        <v>3.25</v>
      </c>
      <c r="K185" s="9">
        <f>(G185 - MIN(KabKota[TIK])) / (MAX(KabKota[TIK]) - MIN(KabKota[TIK])) * 100</f>
        <v>58.10185185</v>
      </c>
      <c r="L185" s="9">
        <f>(H185 - MIN(KabKota[IDI])) / (MAX(KabKota[IDI]) - MIN(KabKota[IDI])) * 100</f>
        <v>94.30812325</v>
      </c>
      <c r="M185" s="9">
        <f t="shared" si="1"/>
        <v>57.44141654</v>
      </c>
      <c r="N185" s="11">
        <f>_xlfn.RANK.EQ(M185,KabKota[Rata-rata Skor])</f>
        <v>184</v>
      </c>
      <c r="O185" s="6">
        <f>COUNTIFS(KabKota[Regional], B185, KabKota[Rata-rata Skor], "&gt;"&amp;M185) + 1</f>
        <v>72</v>
      </c>
    </row>
    <row r="186" ht="22.5" customHeight="1">
      <c r="A186" s="5">
        <v>38.0</v>
      </c>
      <c r="B186" s="5" t="s">
        <v>70</v>
      </c>
      <c r="C186" s="5" t="s">
        <v>21</v>
      </c>
      <c r="D186" s="5" t="s">
        <v>250</v>
      </c>
      <c r="E186" s="7">
        <v>73.89</v>
      </c>
      <c r="F186" s="8">
        <v>0.085</v>
      </c>
      <c r="G186" s="7">
        <f>VLOOKUP(C186,Provinsi[[#ALL],[Daerah]:[IDI]],4,0)</f>
        <v>6.2</v>
      </c>
      <c r="H186" s="9">
        <f>VLOOKUP(C186,Provinsi[[#ALL],[Daerah]:[IDI]],5,0)</f>
        <v>80.19</v>
      </c>
      <c r="I186" s="9">
        <f>(E186 - MIN(KabKota[IPM])) / (MAX(KabKota[IPM]) - MIN(KabKota[IPM])) * 100</f>
        <v>68.17073171</v>
      </c>
      <c r="J186" s="9">
        <f>(F186 - MIN(KabKota[IKF])) / (MAX(KabKota[IKF]) - MIN(KabKota[IKF])) * 100</f>
        <v>10.625</v>
      </c>
      <c r="K186" s="9">
        <f>(G186 - MIN(KabKota[TIK])) / (MAX(KabKota[TIK]) - MIN(KabKota[TIK])) * 100</f>
        <v>61.11111111</v>
      </c>
      <c r="L186" s="9">
        <f>(H186 - MIN(KabKota[IDI])) / (MAX(KabKota[IDI]) - MIN(KabKota[IDI])) * 100</f>
        <v>89.8487395</v>
      </c>
      <c r="M186" s="9">
        <f t="shared" si="1"/>
        <v>57.43889558</v>
      </c>
      <c r="N186" s="11">
        <f>_xlfn.RANK.EQ(M186,KabKota[Rata-rata Skor])</f>
        <v>185</v>
      </c>
      <c r="O186" s="6">
        <f>COUNTIFS(KabKota[Regional], B186, KabKota[Rata-rata Skor], "&gt;"&amp;M186) + 1</f>
        <v>49</v>
      </c>
    </row>
    <row r="187" ht="22.5" customHeight="1">
      <c r="A187" s="5">
        <v>233.0</v>
      </c>
      <c r="B187" s="5" t="s">
        <v>63</v>
      </c>
      <c r="C187" s="5" t="s">
        <v>23</v>
      </c>
      <c r="D187" s="5" t="s">
        <v>251</v>
      </c>
      <c r="E187" s="7">
        <v>76.09</v>
      </c>
      <c r="F187" s="8">
        <v>0.037</v>
      </c>
      <c r="G187" s="7">
        <f>VLOOKUP(C187,Provinsi[[#ALL],[Daerah]:[IDI]],4,0)</f>
        <v>6.07</v>
      </c>
      <c r="H187" s="9">
        <f>VLOOKUP(C187,Provinsi[[#ALL],[Daerah]:[IDI]],5,0)</f>
        <v>84.17</v>
      </c>
      <c r="I187" s="9">
        <f>(E187 - MIN(KabKota[IPM])) / (MAX(KabKota[IPM]) - MIN(KabKota[IPM])) * 100</f>
        <v>72.64227642</v>
      </c>
      <c r="J187" s="9">
        <f>(F187 - MIN(KabKota[IKF])) / (MAX(KabKota[IKF]) - MIN(KabKota[IKF])) * 100</f>
        <v>4.625</v>
      </c>
      <c r="K187" s="9">
        <f>(G187 - MIN(KabKota[TIK])) / (MAX(KabKota[TIK]) - MIN(KabKota[TIK])) * 100</f>
        <v>58.10185185</v>
      </c>
      <c r="L187" s="9">
        <f>(H187 - MIN(KabKota[IDI])) / (MAX(KabKota[IDI]) - MIN(KabKota[IDI])) * 100</f>
        <v>94.30812325</v>
      </c>
      <c r="M187" s="9">
        <f t="shared" si="1"/>
        <v>57.41931288</v>
      </c>
      <c r="N187" s="11">
        <f>_xlfn.RANK.EQ(M187,KabKota[Rata-rata Skor])</f>
        <v>186</v>
      </c>
      <c r="O187" s="6">
        <f>COUNTIFS(KabKota[Regional], B187, KabKota[Rata-rata Skor], "&gt;"&amp;M187) + 1</f>
        <v>73</v>
      </c>
    </row>
    <row r="188" ht="22.5" customHeight="1">
      <c r="A188" s="5">
        <v>423.0</v>
      </c>
      <c r="B188" s="5" t="s">
        <v>75</v>
      </c>
      <c r="C188" s="5" t="s">
        <v>46</v>
      </c>
      <c r="D188" s="5" t="s">
        <v>252</v>
      </c>
      <c r="E188" s="7">
        <v>76.92</v>
      </c>
      <c r="F188" s="8">
        <v>0.085</v>
      </c>
      <c r="G188" s="7">
        <f>VLOOKUP(C188,Provinsi[[#ALL],[Daerah]:[IDI]],4,0)</f>
        <v>6.03</v>
      </c>
      <c r="H188" s="9">
        <f>VLOOKUP(C188,Provinsi[[#ALL],[Daerah]:[IDI]],5,0)</f>
        <v>78.04</v>
      </c>
      <c r="I188" s="9">
        <f>(E188 - MIN(KabKota[IPM])) / (MAX(KabKota[IPM]) - MIN(KabKota[IPM])) * 100</f>
        <v>74.32926829</v>
      </c>
      <c r="J188" s="9">
        <f>(F188 - MIN(KabKota[IKF])) / (MAX(KabKota[IKF]) - MIN(KabKota[IKF])) * 100</f>
        <v>10.625</v>
      </c>
      <c r="K188" s="9">
        <f>(G188 - MIN(KabKota[TIK])) / (MAX(KabKota[TIK]) - MIN(KabKota[TIK])) * 100</f>
        <v>57.17592593</v>
      </c>
      <c r="L188" s="9">
        <f>(H188 - MIN(KabKota[IDI])) / (MAX(KabKota[IDI]) - MIN(KabKota[IDI])) * 100</f>
        <v>87.43977591</v>
      </c>
      <c r="M188" s="9">
        <f t="shared" si="1"/>
        <v>57.39249253</v>
      </c>
      <c r="N188" s="11">
        <f>_xlfn.RANK.EQ(M188,KabKota[Rata-rata Skor])</f>
        <v>187</v>
      </c>
      <c r="O188" s="6">
        <f>COUNTIFS(KabKota[Regional], B188, KabKota[Rata-rata Skor], "&gt;"&amp;M188) + 1</f>
        <v>19</v>
      </c>
    </row>
    <row r="189" ht="22.5" customHeight="1">
      <c r="A189" s="5">
        <v>471.0</v>
      </c>
      <c r="B189" s="5" t="s">
        <v>180</v>
      </c>
      <c r="C189" s="5" t="s">
        <v>51</v>
      </c>
      <c r="D189" s="5" t="s">
        <v>253</v>
      </c>
      <c r="E189" s="7">
        <v>83.01</v>
      </c>
      <c r="F189" s="8">
        <v>0.142</v>
      </c>
      <c r="G189" s="7">
        <f>VLOOKUP(C189,Provinsi[[#ALL],[Daerah]:[IDI]],4,0)</f>
        <v>5.68</v>
      </c>
      <c r="H189" s="9">
        <f>VLOOKUP(C189,Provinsi[[#ALL],[Daerah]:[IDI]],5,0)</f>
        <v>67.8</v>
      </c>
      <c r="I189" s="9">
        <f>(E189 - MIN(KabKota[IPM])) / (MAX(KabKota[IPM]) - MIN(KabKota[IPM])) * 100</f>
        <v>86.70731707</v>
      </c>
      <c r="J189" s="9">
        <f>(F189 - MIN(KabKota[IKF])) / (MAX(KabKota[IKF]) - MIN(KabKota[IKF])) * 100</f>
        <v>17.75</v>
      </c>
      <c r="K189" s="9">
        <f>(G189 - MIN(KabKota[TIK])) / (MAX(KabKota[TIK]) - MIN(KabKota[TIK])) * 100</f>
        <v>49.07407407</v>
      </c>
      <c r="L189" s="9">
        <f>(H189 - MIN(KabKota[IDI])) / (MAX(KabKota[IDI]) - MIN(KabKota[IDI])) * 100</f>
        <v>75.96638655</v>
      </c>
      <c r="M189" s="9">
        <f t="shared" si="1"/>
        <v>57.37444443</v>
      </c>
      <c r="N189" s="11">
        <f>_xlfn.RANK.EQ(M189,KabKota[Rata-rata Skor])</f>
        <v>188</v>
      </c>
      <c r="O189" s="6">
        <f>COUNTIFS(KabKota[Regional], B189, KabKota[Rata-rata Skor], "&gt;"&amp;M189) + 1</f>
        <v>4</v>
      </c>
    </row>
    <row r="190" ht="22.5" customHeight="1">
      <c r="A190" s="5">
        <v>174.0</v>
      </c>
      <c r="B190" s="5" t="s">
        <v>63</v>
      </c>
      <c r="C190" s="5" t="s">
        <v>19</v>
      </c>
      <c r="D190" s="5" t="s">
        <v>254</v>
      </c>
      <c r="E190" s="7">
        <v>74.97</v>
      </c>
      <c r="F190" s="8">
        <v>0.015</v>
      </c>
      <c r="G190" s="7">
        <f>VLOOKUP(C190,Provinsi[[#ALL],[Daerah]:[IDI]],4,0)</f>
        <v>6.33</v>
      </c>
      <c r="H190" s="9">
        <f>VLOOKUP(C190,Provinsi[[#ALL],[Daerah]:[IDI]],5,0)</f>
        <v>82.8</v>
      </c>
      <c r="I190" s="9">
        <f>(E190 - MIN(KabKota[IPM])) / (MAX(KabKota[IPM]) - MIN(KabKota[IPM])) * 100</f>
        <v>70.36585366</v>
      </c>
      <c r="J190" s="9">
        <f>(F190 - MIN(KabKota[IKF])) / (MAX(KabKota[IKF]) - MIN(KabKota[IKF])) * 100</f>
        <v>1.875</v>
      </c>
      <c r="K190" s="9">
        <f>(G190 - MIN(KabKota[TIK])) / (MAX(KabKota[TIK]) - MIN(KabKota[TIK])) * 100</f>
        <v>64.12037037</v>
      </c>
      <c r="L190" s="9">
        <f>(H190 - MIN(KabKota[IDI])) / (MAX(KabKota[IDI]) - MIN(KabKota[IDI])) * 100</f>
        <v>92.77310924</v>
      </c>
      <c r="M190" s="9">
        <f t="shared" si="1"/>
        <v>57.28358332</v>
      </c>
      <c r="N190" s="11">
        <f>_xlfn.RANK.EQ(M190,KabKota[Rata-rata Skor])</f>
        <v>189</v>
      </c>
      <c r="O190" s="6">
        <f>COUNTIFS(KabKota[Regional], B190, KabKota[Rata-rata Skor], "&gt;"&amp;M190) + 1</f>
        <v>74</v>
      </c>
    </row>
    <row r="191" ht="22.5" customHeight="1">
      <c r="A191" s="5">
        <v>244.0</v>
      </c>
      <c r="B191" s="5" t="s">
        <v>63</v>
      </c>
      <c r="C191" s="5" t="s">
        <v>23</v>
      </c>
      <c r="D191" s="5" t="s">
        <v>255</v>
      </c>
      <c r="E191" s="7">
        <v>76.37</v>
      </c>
      <c r="F191" s="8">
        <v>0.028</v>
      </c>
      <c r="G191" s="7">
        <f>VLOOKUP(C191,Provinsi[[#ALL],[Daerah]:[IDI]],4,0)</f>
        <v>6.07</v>
      </c>
      <c r="H191" s="9">
        <f>VLOOKUP(C191,Provinsi[[#ALL],[Daerah]:[IDI]],5,0)</f>
        <v>84.17</v>
      </c>
      <c r="I191" s="9">
        <f>(E191 - MIN(KabKota[IPM])) / (MAX(KabKota[IPM]) - MIN(KabKota[IPM])) * 100</f>
        <v>73.21138211</v>
      </c>
      <c r="J191" s="9">
        <f>(F191 - MIN(KabKota[IKF])) / (MAX(KabKota[IKF]) - MIN(KabKota[IKF])) * 100</f>
        <v>3.5</v>
      </c>
      <c r="K191" s="9">
        <f>(G191 - MIN(KabKota[TIK])) / (MAX(KabKota[TIK]) - MIN(KabKota[TIK])) * 100</f>
        <v>58.10185185</v>
      </c>
      <c r="L191" s="9">
        <f>(H191 - MIN(KabKota[IDI])) / (MAX(KabKota[IDI]) - MIN(KabKota[IDI])) * 100</f>
        <v>94.30812325</v>
      </c>
      <c r="M191" s="9">
        <f t="shared" si="1"/>
        <v>57.2803393</v>
      </c>
      <c r="N191" s="11">
        <f>_xlfn.RANK.EQ(M191,KabKota[Rata-rata Skor])</f>
        <v>190</v>
      </c>
      <c r="O191" s="6">
        <f>COUNTIFS(KabKota[Regional], B191, KabKota[Rata-rata Skor], "&gt;"&amp;M191) + 1</f>
        <v>75</v>
      </c>
    </row>
    <row r="192" ht="22.5" customHeight="1">
      <c r="A192" s="5">
        <v>416.0</v>
      </c>
      <c r="B192" s="5" t="s">
        <v>75</v>
      </c>
      <c r="C192" s="5" t="s">
        <v>32</v>
      </c>
      <c r="D192" s="5" t="s">
        <v>256</v>
      </c>
      <c r="E192" s="7">
        <v>72.77</v>
      </c>
      <c r="F192" s="8">
        <v>0.107</v>
      </c>
      <c r="G192" s="7">
        <f>VLOOKUP(C192,Provinsi[[#ALL],[Daerah]:[IDI]],4,0)</f>
        <v>6.21</v>
      </c>
      <c r="H192" s="9">
        <f>VLOOKUP(C192,Provinsi[[#ALL],[Daerah]:[IDI]],5,0)</f>
        <v>78.93</v>
      </c>
      <c r="I192" s="9">
        <f>(E192 - MIN(KabKota[IPM])) / (MAX(KabKota[IPM]) - MIN(KabKota[IPM])) * 100</f>
        <v>65.89430894</v>
      </c>
      <c r="J192" s="9">
        <f>(F192 - MIN(KabKota[IKF])) / (MAX(KabKota[IKF]) - MIN(KabKota[IKF])) * 100</f>
        <v>13.375</v>
      </c>
      <c r="K192" s="9">
        <f>(G192 - MIN(KabKota[TIK])) / (MAX(KabKota[TIK]) - MIN(KabKota[TIK])) * 100</f>
        <v>61.34259259</v>
      </c>
      <c r="L192" s="9">
        <f>(H192 - MIN(KabKota[IDI])) / (MAX(KabKota[IDI]) - MIN(KabKota[IDI])) * 100</f>
        <v>88.43697479</v>
      </c>
      <c r="M192" s="9">
        <f t="shared" si="1"/>
        <v>57.26221908</v>
      </c>
      <c r="N192" s="11">
        <f>_xlfn.RANK.EQ(M192,KabKota[Rata-rata Skor])</f>
        <v>191</v>
      </c>
      <c r="O192" s="6">
        <f>COUNTIFS(KabKota[Regional], B192, KabKota[Rata-rata Skor], "&gt;"&amp;M192) + 1</f>
        <v>20</v>
      </c>
    </row>
    <row r="193" ht="22.5" customHeight="1">
      <c r="A193" s="5">
        <v>25.0</v>
      </c>
      <c r="B193" s="5" t="s">
        <v>70</v>
      </c>
      <c r="C193" s="5" t="s">
        <v>21</v>
      </c>
      <c r="D193" s="5" t="s">
        <v>257</v>
      </c>
      <c r="E193" s="7">
        <v>78.09</v>
      </c>
      <c r="F193" s="8">
        <v>0.01</v>
      </c>
      <c r="G193" s="7">
        <f>VLOOKUP(C193,Provinsi[[#ALL],[Daerah]:[IDI]],4,0)</f>
        <v>6.2</v>
      </c>
      <c r="H193" s="9">
        <f>VLOOKUP(C193,Provinsi[[#ALL],[Daerah]:[IDI]],5,0)</f>
        <v>80.19</v>
      </c>
      <c r="I193" s="9">
        <f>(E193 - MIN(KabKota[IPM])) / (MAX(KabKota[IPM]) - MIN(KabKota[IPM])) * 100</f>
        <v>76.70731707</v>
      </c>
      <c r="J193" s="9">
        <f>(F193 - MIN(KabKota[IKF])) / (MAX(KabKota[IKF]) - MIN(KabKota[IKF])) * 100</f>
        <v>1.25</v>
      </c>
      <c r="K193" s="9">
        <f>(G193 - MIN(KabKota[TIK])) / (MAX(KabKota[TIK]) - MIN(KabKota[TIK])) * 100</f>
        <v>61.11111111</v>
      </c>
      <c r="L193" s="9">
        <f>(H193 - MIN(KabKota[IDI])) / (MAX(KabKota[IDI]) - MIN(KabKota[IDI])) * 100</f>
        <v>89.8487395</v>
      </c>
      <c r="M193" s="9">
        <f t="shared" si="1"/>
        <v>57.22929192</v>
      </c>
      <c r="N193" s="11">
        <f>_xlfn.RANK.EQ(M193,KabKota[Rata-rata Skor])</f>
        <v>192</v>
      </c>
      <c r="O193" s="6">
        <f>COUNTIFS(KabKota[Regional], B193, KabKota[Rata-rata Skor], "&gt;"&amp;M193) + 1</f>
        <v>50</v>
      </c>
    </row>
    <row r="194" ht="22.5" customHeight="1">
      <c r="A194" s="5">
        <v>117.0</v>
      </c>
      <c r="B194" s="5" t="s">
        <v>70</v>
      </c>
      <c r="C194" s="5" t="s">
        <v>39</v>
      </c>
      <c r="D194" s="5" t="s">
        <v>258</v>
      </c>
      <c r="E194" s="7">
        <v>75.87</v>
      </c>
      <c r="F194" s="8">
        <v>0.052</v>
      </c>
      <c r="G194" s="7">
        <f>VLOOKUP(C194,Provinsi[[#ALL],[Daerah]:[IDI]],4,0)</f>
        <v>6.19</v>
      </c>
      <c r="H194" s="9">
        <f>VLOOKUP(C194,Provinsi[[#ALL],[Daerah]:[IDI]],5,0)</f>
        <v>79.66</v>
      </c>
      <c r="I194" s="9">
        <f>(E194 - MIN(KabKota[IPM])) / (MAX(KabKota[IPM]) - MIN(KabKota[IPM])) * 100</f>
        <v>72.19512195</v>
      </c>
      <c r="J194" s="9">
        <f>(F194 - MIN(KabKota[IKF])) / (MAX(KabKota[IKF]) - MIN(KabKota[IKF])) * 100</f>
        <v>6.5</v>
      </c>
      <c r="K194" s="9">
        <f>(G194 - MIN(KabKota[TIK])) / (MAX(KabKota[TIK]) - MIN(KabKota[TIK])) * 100</f>
        <v>60.87962963</v>
      </c>
      <c r="L194" s="9">
        <f>(H194 - MIN(KabKota[IDI])) / (MAX(KabKota[IDI]) - MIN(KabKota[IDI])) * 100</f>
        <v>89.25490196</v>
      </c>
      <c r="M194" s="9">
        <f t="shared" si="1"/>
        <v>57.20741339</v>
      </c>
      <c r="N194" s="11">
        <f>_xlfn.RANK.EQ(M194,KabKota[Rata-rata Skor])</f>
        <v>193</v>
      </c>
      <c r="O194" s="6">
        <f>COUNTIFS(KabKota[Regional], B194, KabKota[Rata-rata Skor], "&gt;"&amp;M194) + 1</f>
        <v>51</v>
      </c>
    </row>
    <row r="195" ht="22.5" customHeight="1">
      <c r="A195" s="5">
        <v>98.0</v>
      </c>
      <c r="B195" s="5" t="s">
        <v>70</v>
      </c>
      <c r="C195" s="5" t="s">
        <v>38</v>
      </c>
      <c r="D195" s="5" t="s">
        <v>259</v>
      </c>
      <c r="E195" s="7">
        <v>78.89</v>
      </c>
      <c r="F195" s="8">
        <v>0.009</v>
      </c>
      <c r="G195" s="7">
        <f>VLOOKUP(C195,Provinsi[[#ALL],[Daerah]:[IDI]],4,0)</f>
        <v>6.03</v>
      </c>
      <c r="H195" s="9">
        <f>VLOOKUP(C195,Provinsi[[#ALL],[Daerah]:[IDI]],5,0)</f>
        <v>82.27</v>
      </c>
      <c r="I195" s="9">
        <f>(E195 - MIN(KabKota[IPM])) / (MAX(KabKota[IPM]) - MIN(KabKota[IPM])) * 100</f>
        <v>78.33333333</v>
      </c>
      <c r="J195" s="9">
        <f>(F195 - MIN(KabKota[IKF])) / (MAX(KabKota[IKF]) - MIN(KabKota[IKF])) * 100</f>
        <v>1.125</v>
      </c>
      <c r="K195" s="9">
        <f>(G195 - MIN(KabKota[TIK])) / (MAX(KabKota[TIK]) - MIN(KabKota[TIK])) * 100</f>
        <v>57.17592593</v>
      </c>
      <c r="L195" s="9">
        <f>(H195 - MIN(KabKota[IDI])) / (MAX(KabKota[IDI]) - MIN(KabKota[IDI])) * 100</f>
        <v>92.17927171</v>
      </c>
      <c r="M195" s="9">
        <f t="shared" si="1"/>
        <v>57.20338274</v>
      </c>
      <c r="N195" s="11">
        <f>_xlfn.RANK.EQ(M195,KabKota[Rata-rata Skor])</f>
        <v>194</v>
      </c>
      <c r="O195" s="6">
        <f>COUNTIFS(KabKota[Regional], B195, KabKota[Rata-rata Skor], "&gt;"&amp;M195) + 1</f>
        <v>52</v>
      </c>
    </row>
    <row r="196" ht="22.5" customHeight="1">
      <c r="A196" s="5">
        <v>93.0</v>
      </c>
      <c r="B196" s="5" t="s">
        <v>70</v>
      </c>
      <c r="C196" s="5" t="s">
        <v>38</v>
      </c>
      <c r="D196" s="5" t="s">
        <v>260</v>
      </c>
      <c r="E196" s="7">
        <v>73.0</v>
      </c>
      <c r="F196" s="8">
        <v>0.104</v>
      </c>
      <c r="G196" s="7">
        <f>VLOOKUP(C196,Provinsi[[#ALL],[Daerah]:[IDI]],4,0)</f>
        <v>6.03</v>
      </c>
      <c r="H196" s="9">
        <f>VLOOKUP(C196,Provinsi[[#ALL],[Daerah]:[IDI]],5,0)</f>
        <v>82.27</v>
      </c>
      <c r="I196" s="9">
        <f>(E196 - MIN(KabKota[IPM])) / (MAX(KabKota[IPM]) - MIN(KabKota[IPM])) * 100</f>
        <v>66.36178862</v>
      </c>
      <c r="J196" s="9">
        <f>(F196 - MIN(KabKota[IKF])) / (MAX(KabKota[IKF]) - MIN(KabKota[IKF])) * 100</f>
        <v>13</v>
      </c>
      <c r="K196" s="9">
        <f>(G196 - MIN(KabKota[TIK])) / (MAX(KabKota[TIK]) - MIN(KabKota[TIK])) * 100</f>
        <v>57.17592593</v>
      </c>
      <c r="L196" s="9">
        <f>(H196 - MIN(KabKota[IDI])) / (MAX(KabKota[IDI]) - MIN(KabKota[IDI])) * 100</f>
        <v>92.17927171</v>
      </c>
      <c r="M196" s="9">
        <f t="shared" si="1"/>
        <v>57.17924656</v>
      </c>
      <c r="N196" s="11">
        <f>_xlfn.RANK.EQ(M196,KabKota[Rata-rata Skor])</f>
        <v>195</v>
      </c>
      <c r="O196" s="6">
        <f>COUNTIFS(KabKota[Regional], B196, KabKota[Rata-rata Skor], "&gt;"&amp;M196) + 1</f>
        <v>53</v>
      </c>
    </row>
    <row r="197" ht="22.5" customHeight="1">
      <c r="A197" s="5">
        <v>29.0</v>
      </c>
      <c r="B197" s="5" t="s">
        <v>70</v>
      </c>
      <c r="C197" s="5" t="s">
        <v>21</v>
      </c>
      <c r="D197" s="5" t="s">
        <v>261</v>
      </c>
      <c r="E197" s="7">
        <v>78.1</v>
      </c>
      <c r="F197" s="8">
        <v>0.006</v>
      </c>
      <c r="G197" s="7">
        <f>VLOOKUP(C197,Provinsi[[#ALL],[Daerah]:[IDI]],4,0)</f>
        <v>6.2</v>
      </c>
      <c r="H197" s="9">
        <f>VLOOKUP(C197,Provinsi[[#ALL],[Daerah]:[IDI]],5,0)</f>
        <v>80.19</v>
      </c>
      <c r="I197" s="9">
        <f>(E197 - MIN(KabKota[IPM])) / (MAX(KabKota[IPM]) - MIN(KabKota[IPM])) * 100</f>
        <v>76.72764228</v>
      </c>
      <c r="J197" s="9">
        <f>(F197 - MIN(KabKota[IKF])) / (MAX(KabKota[IKF]) - MIN(KabKota[IKF])) * 100</f>
        <v>0.75</v>
      </c>
      <c r="K197" s="9">
        <f>(G197 - MIN(KabKota[TIK])) / (MAX(KabKota[TIK]) - MIN(KabKota[TIK])) * 100</f>
        <v>61.11111111</v>
      </c>
      <c r="L197" s="9">
        <f>(H197 - MIN(KabKota[IDI])) / (MAX(KabKota[IDI]) - MIN(KabKota[IDI])) * 100</f>
        <v>89.8487395</v>
      </c>
      <c r="M197" s="9">
        <f t="shared" si="1"/>
        <v>57.10937322</v>
      </c>
      <c r="N197" s="11">
        <f>_xlfn.RANK.EQ(M197,KabKota[Rata-rata Skor])</f>
        <v>196</v>
      </c>
      <c r="O197" s="6">
        <f>COUNTIFS(KabKota[Regional], B197, KabKota[Rata-rata Skor], "&gt;"&amp;M197) + 1</f>
        <v>54</v>
      </c>
    </row>
    <row r="198" ht="22.5" customHeight="1">
      <c r="A198" s="5">
        <v>402.0</v>
      </c>
      <c r="B198" s="5" t="s">
        <v>75</v>
      </c>
      <c r="C198" s="5" t="s">
        <v>32</v>
      </c>
      <c r="D198" s="5" t="s">
        <v>262</v>
      </c>
      <c r="E198" s="7">
        <v>70.25</v>
      </c>
      <c r="F198" s="8">
        <v>0.143</v>
      </c>
      <c r="G198" s="7">
        <f>VLOOKUP(C198,Provinsi[[#ALL],[Daerah]:[IDI]],4,0)</f>
        <v>6.21</v>
      </c>
      <c r="H198" s="9">
        <f>VLOOKUP(C198,Provinsi[[#ALL],[Daerah]:[IDI]],5,0)</f>
        <v>78.93</v>
      </c>
      <c r="I198" s="9">
        <f>(E198 - MIN(KabKota[IPM])) / (MAX(KabKota[IPM]) - MIN(KabKota[IPM])) * 100</f>
        <v>60.77235772</v>
      </c>
      <c r="J198" s="9">
        <f>(F198 - MIN(KabKota[IKF])) / (MAX(KabKota[IKF]) - MIN(KabKota[IKF])) * 100</f>
        <v>17.875</v>
      </c>
      <c r="K198" s="9">
        <f>(G198 - MIN(KabKota[TIK])) / (MAX(KabKota[TIK]) - MIN(KabKota[TIK])) * 100</f>
        <v>61.34259259</v>
      </c>
      <c r="L198" s="9">
        <f>(H198 - MIN(KabKota[IDI])) / (MAX(KabKota[IDI]) - MIN(KabKota[IDI])) * 100</f>
        <v>88.43697479</v>
      </c>
      <c r="M198" s="9">
        <f t="shared" si="1"/>
        <v>57.10673128</v>
      </c>
      <c r="N198" s="11">
        <f>_xlfn.RANK.EQ(M198,KabKota[Rata-rata Skor])</f>
        <v>197</v>
      </c>
      <c r="O198" s="6">
        <f>COUNTIFS(KabKota[Regional], B198, KabKota[Rata-rata Skor], "&gt;"&amp;M198) + 1</f>
        <v>21</v>
      </c>
    </row>
    <row r="199" ht="22.5" customHeight="1">
      <c r="A199" s="5">
        <v>62.0</v>
      </c>
      <c r="B199" s="5" t="s">
        <v>70</v>
      </c>
      <c r="C199" s="5" t="s">
        <v>34</v>
      </c>
      <c r="D199" s="5" t="s">
        <v>263</v>
      </c>
      <c r="E199" s="7">
        <v>76.04</v>
      </c>
      <c r="F199" s="8">
        <v>0.038</v>
      </c>
      <c r="G199" s="7">
        <f>VLOOKUP(C199,Provinsi[[#ALL],[Daerah]:[IDI]],4,0)</f>
        <v>6.27</v>
      </c>
      <c r="H199" s="9">
        <f>VLOOKUP(C199,Provinsi[[#ALL],[Daerah]:[IDI]],5,0)</f>
        <v>78.83</v>
      </c>
      <c r="I199" s="9">
        <f>(E199 - MIN(KabKota[IPM])) / (MAX(KabKota[IPM]) - MIN(KabKota[IPM])) * 100</f>
        <v>72.54065041</v>
      </c>
      <c r="J199" s="9">
        <f>(F199 - MIN(KabKota[IKF])) / (MAX(KabKota[IKF]) - MIN(KabKota[IKF])) * 100</f>
        <v>4.75</v>
      </c>
      <c r="K199" s="9">
        <f>(G199 - MIN(KabKota[TIK])) / (MAX(KabKota[TIK]) - MIN(KabKota[TIK])) * 100</f>
        <v>62.73148148</v>
      </c>
      <c r="L199" s="9">
        <f>(H199 - MIN(KabKota[IDI])) / (MAX(KabKota[IDI]) - MIN(KabKota[IDI])) * 100</f>
        <v>88.32492997</v>
      </c>
      <c r="M199" s="9">
        <f t="shared" si="1"/>
        <v>57.08676546</v>
      </c>
      <c r="N199" s="11">
        <f>_xlfn.RANK.EQ(M199,KabKota[Rata-rata Skor])</f>
        <v>198</v>
      </c>
      <c r="O199" s="6">
        <f>COUNTIFS(KabKota[Regional], B199, KabKota[Rata-rata Skor], "&gt;"&amp;M199) + 1</f>
        <v>55</v>
      </c>
    </row>
    <row r="200" ht="22.5" customHeight="1">
      <c r="A200" s="5">
        <v>140.0</v>
      </c>
      <c r="B200" s="5" t="s">
        <v>70</v>
      </c>
      <c r="C200" s="5" t="s">
        <v>43</v>
      </c>
      <c r="D200" s="5" t="s">
        <v>264</v>
      </c>
      <c r="E200" s="7">
        <v>81.22</v>
      </c>
      <c r="F200" s="8">
        <v>0.075</v>
      </c>
      <c r="G200" s="7">
        <f>VLOOKUP(C200,Provinsi[[#ALL],[Daerah]:[IDI]],4,0)</f>
        <v>5.91</v>
      </c>
      <c r="H200" s="9">
        <f>VLOOKUP(C200,Provinsi[[#ALL],[Daerah]:[IDI]],5,0)</f>
        <v>72.62</v>
      </c>
      <c r="I200" s="9">
        <f>(E200 - MIN(KabKota[IPM])) / (MAX(KabKota[IPM]) - MIN(KabKota[IPM])) * 100</f>
        <v>83.06910569</v>
      </c>
      <c r="J200" s="9">
        <f>(F200 - MIN(KabKota[IKF])) / (MAX(KabKota[IKF]) - MIN(KabKota[IKF])) * 100</f>
        <v>9.375</v>
      </c>
      <c r="K200" s="9">
        <f>(G200 - MIN(KabKota[TIK])) / (MAX(KabKota[TIK]) - MIN(KabKota[TIK])) * 100</f>
        <v>54.39814815</v>
      </c>
      <c r="L200" s="9">
        <f>(H200 - MIN(KabKota[IDI])) / (MAX(KabKota[IDI]) - MIN(KabKota[IDI])) * 100</f>
        <v>81.36694678</v>
      </c>
      <c r="M200" s="9">
        <f t="shared" si="1"/>
        <v>57.05230015</v>
      </c>
      <c r="N200" s="11">
        <f>_xlfn.RANK.EQ(M200,KabKota[Rata-rata Skor])</f>
        <v>199</v>
      </c>
      <c r="O200" s="6">
        <f>COUNTIFS(KabKota[Regional], B200, KabKota[Rata-rata Skor], "&gt;"&amp;M200) + 1</f>
        <v>56</v>
      </c>
    </row>
    <row r="201" ht="22.5" customHeight="1">
      <c r="A201" s="5">
        <v>31.0</v>
      </c>
      <c r="B201" s="5" t="s">
        <v>70</v>
      </c>
      <c r="C201" s="5" t="s">
        <v>21</v>
      </c>
      <c r="D201" s="5" t="s">
        <v>265</v>
      </c>
      <c r="E201" s="7">
        <v>76.48</v>
      </c>
      <c r="F201" s="8">
        <v>0.03</v>
      </c>
      <c r="G201" s="7">
        <f>VLOOKUP(C201,Provinsi[[#ALL],[Daerah]:[IDI]],4,0)</f>
        <v>6.2</v>
      </c>
      <c r="H201" s="9">
        <f>VLOOKUP(C201,Provinsi[[#ALL],[Daerah]:[IDI]],5,0)</f>
        <v>80.19</v>
      </c>
      <c r="I201" s="9">
        <f>(E201 - MIN(KabKota[IPM])) / (MAX(KabKota[IPM]) - MIN(KabKota[IPM])) * 100</f>
        <v>73.43495935</v>
      </c>
      <c r="J201" s="9">
        <f>(F201 - MIN(KabKota[IKF])) / (MAX(KabKota[IKF]) - MIN(KabKota[IKF])) * 100</f>
        <v>3.75</v>
      </c>
      <c r="K201" s="9">
        <f>(G201 - MIN(KabKota[TIK])) / (MAX(KabKota[TIK]) - MIN(KabKota[TIK])) * 100</f>
        <v>61.11111111</v>
      </c>
      <c r="L201" s="9">
        <f>(H201 - MIN(KabKota[IDI])) / (MAX(KabKota[IDI]) - MIN(KabKota[IDI])) * 100</f>
        <v>89.8487395</v>
      </c>
      <c r="M201" s="9">
        <f t="shared" si="1"/>
        <v>57.03620249</v>
      </c>
      <c r="N201" s="11">
        <f>_xlfn.RANK.EQ(M201,KabKota[Rata-rata Skor])</f>
        <v>200</v>
      </c>
      <c r="O201" s="6">
        <f>COUNTIFS(KabKota[Regional], B201, KabKota[Rata-rata Skor], "&gt;"&amp;M201) + 1</f>
        <v>57</v>
      </c>
    </row>
    <row r="202" ht="22.5" customHeight="1">
      <c r="A202" s="5">
        <v>341.0</v>
      </c>
      <c r="B202" s="5" t="s">
        <v>77</v>
      </c>
      <c r="C202" s="5" t="s">
        <v>40</v>
      </c>
      <c r="D202" s="5" t="s">
        <v>266</v>
      </c>
      <c r="E202" s="7">
        <v>75.5</v>
      </c>
      <c r="F202" s="8">
        <v>0.093</v>
      </c>
      <c r="G202" s="7">
        <f>VLOOKUP(C202,Provinsi[[#ALL],[Daerah]:[IDI]],4,0)</f>
        <v>6.02</v>
      </c>
      <c r="H202" s="9">
        <f>VLOOKUP(C202,Provinsi[[#ALL],[Daerah]:[IDI]],5,0)</f>
        <v>78.47</v>
      </c>
      <c r="I202" s="9">
        <f>(E202 - MIN(KabKota[IPM])) / (MAX(KabKota[IPM]) - MIN(KabKota[IPM])) * 100</f>
        <v>71.44308943</v>
      </c>
      <c r="J202" s="9">
        <f>(F202 - MIN(KabKota[IKF])) / (MAX(KabKota[IKF]) - MIN(KabKota[IKF])) * 100</f>
        <v>11.625</v>
      </c>
      <c r="K202" s="9">
        <f>(G202 - MIN(KabKota[TIK])) / (MAX(KabKota[TIK]) - MIN(KabKota[TIK])) * 100</f>
        <v>56.94444444</v>
      </c>
      <c r="L202" s="9">
        <f>(H202 - MIN(KabKota[IDI])) / (MAX(KabKota[IDI]) - MIN(KabKota[IDI])) * 100</f>
        <v>87.92156863</v>
      </c>
      <c r="M202" s="9">
        <f t="shared" si="1"/>
        <v>56.98352563</v>
      </c>
      <c r="N202" s="11">
        <f>_xlfn.RANK.EQ(M202,KabKota[Rata-rata Skor])</f>
        <v>201</v>
      </c>
      <c r="O202" s="6">
        <f>COUNTIFS(KabKota[Regional], B202, KabKota[Rata-rata Skor], "&gt;"&amp;M202) + 1</f>
        <v>32</v>
      </c>
    </row>
    <row r="203" ht="22.5" customHeight="1">
      <c r="A203" s="5">
        <v>413.0</v>
      </c>
      <c r="B203" s="5" t="s">
        <v>75</v>
      </c>
      <c r="C203" s="5" t="s">
        <v>32</v>
      </c>
      <c r="D203" s="5" t="s">
        <v>267</v>
      </c>
      <c r="E203" s="7">
        <v>75.87</v>
      </c>
      <c r="F203" s="8">
        <v>0.047</v>
      </c>
      <c r="G203" s="7">
        <f>VLOOKUP(C203,Provinsi[[#ALL],[Daerah]:[IDI]],4,0)</f>
        <v>6.21</v>
      </c>
      <c r="H203" s="9">
        <f>VLOOKUP(C203,Provinsi[[#ALL],[Daerah]:[IDI]],5,0)</f>
        <v>78.93</v>
      </c>
      <c r="I203" s="9">
        <f>(E203 - MIN(KabKota[IPM])) / (MAX(KabKota[IPM]) - MIN(KabKota[IPM])) * 100</f>
        <v>72.19512195</v>
      </c>
      <c r="J203" s="9">
        <f>(F203 - MIN(KabKota[IKF])) / (MAX(KabKota[IKF]) - MIN(KabKota[IKF])) * 100</f>
        <v>5.875</v>
      </c>
      <c r="K203" s="9">
        <f>(G203 - MIN(KabKota[TIK])) / (MAX(KabKota[TIK]) - MIN(KabKota[TIK])) * 100</f>
        <v>61.34259259</v>
      </c>
      <c r="L203" s="9">
        <f>(H203 - MIN(KabKota[IDI])) / (MAX(KabKota[IDI]) - MIN(KabKota[IDI])) * 100</f>
        <v>88.43697479</v>
      </c>
      <c r="M203" s="9">
        <f t="shared" si="1"/>
        <v>56.96242233</v>
      </c>
      <c r="N203" s="11">
        <f>_xlfn.RANK.EQ(M203,KabKota[Rata-rata Skor])</f>
        <v>202</v>
      </c>
      <c r="O203" s="6">
        <f>COUNTIFS(KabKota[Regional], B203, KabKota[Rata-rata Skor], "&gt;"&amp;M203) + 1</f>
        <v>22</v>
      </c>
    </row>
    <row r="204" ht="22.5" customHeight="1">
      <c r="A204" s="5">
        <v>232.0</v>
      </c>
      <c r="B204" s="5" t="s">
        <v>63</v>
      </c>
      <c r="C204" s="5" t="s">
        <v>23</v>
      </c>
      <c r="D204" s="5" t="s">
        <v>268</v>
      </c>
      <c r="E204" s="7">
        <v>74.43</v>
      </c>
      <c r="F204" s="8">
        <v>0.048</v>
      </c>
      <c r="G204" s="7">
        <f>VLOOKUP(C204,Provinsi[[#ALL],[Daerah]:[IDI]],4,0)</f>
        <v>6.07</v>
      </c>
      <c r="H204" s="9">
        <f>VLOOKUP(C204,Provinsi[[#ALL],[Daerah]:[IDI]],5,0)</f>
        <v>84.17</v>
      </c>
      <c r="I204" s="9">
        <f>(E204 - MIN(KabKota[IPM])) / (MAX(KabKota[IPM]) - MIN(KabKota[IPM])) * 100</f>
        <v>69.26829268</v>
      </c>
      <c r="J204" s="9">
        <f>(F204 - MIN(KabKota[IKF])) / (MAX(KabKota[IKF]) - MIN(KabKota[IKF])) * 100</f>
        <v>6</v>
      </c>
      <c r="K204" s="9">
        <f>(G204 - MIN(KabKota[TIK])) / (MAX(KabKota[TIK]) - MIN(KabKota[TIK])) * 100</f>
        <v>58.10185185</v>
      </c>
      <c r="L204" s="9">
        <f>(H204 - MIN(KabKota[IDI])) / (MAX(KabKota[IDI]) - MIN(KabKota[IDI])) * 100</f>
        <v>94.30812325</v>
      </c>
      <c r="M204" s="9">
        <f t="shared" si="1"/>
        <v>56.91956695</v>
      </c>
      <c r="N204" s="11">
        <f>_xlfn.RANK.EQ(M204,KabKota[Rata-rata Skor])</f>
        <v>203</v>
      </c>
      <c r="O204" s="6">
        <f>COUNTIFS(KabKota[Regional], B204, KabKota[Rata-rata Skor], "&gt;"&amp;M204) + 1</f>
        <v>76</v>
      </c>
    </row>
    <row r="205" ht="22.5" customHeight="1">
      <c r="A205" s="5">
        <v>215.0</v>
      </c>
      <c r="B205" s="5" t="s">
        <v>63</v>
      </c>
      <c r="C205" s="5" t="s">
        <v>30</v>
      </c>
      <c r="D205" s="5" t="s">
        <v>269</v>
      </c>
      <c r="E205" s="7">
        <v>72.36</v>
      </c>
      <c r="F205" s="8">
        <v>0.083</v>
      </c>
      <c r="G205" s="7">
        <f>VLOOKUP(C205,Provinsi[[#ALL],[Daerah]:[IDI]],4,0)</f>
        <v>5.98</v>
      </c>
      <c r="H205" s="9">
        <f>VLOOKUP(C205,Provinsi[[#ALL],[Daerah]:[IDI]],5,0)</f>
        <v>85.84</v>
      </c>
      <c r="I205" s="9">
        <f>(E205 - MIN(KabKota[IPM])) / (MAX(KabKota[IPM]) - MIN(KabKota[IPM])) * 100</f>
        <v>65.06097561</v>
      </c>
      <c r="J205" s="9">
        <f>(F205 - MIN(KabKota[IKF])) / (MAX(KabKota[IKF]) - MIN(KabKota[IKF])) * 100</f>
        <v>10.375</v>
      </c>
      <c r="K205" s="9">
        <f>(G205 - MIN(KabKota[TIK])) / (MAX(KabKota[TIK]) - MIN(KabKota[TIK])) * 100</f>
        <v>56.01851852</v>
      </c>
      <c r="L205" s="9">
        <f>(H205 - MIN(KabKota[IDI])) / (MAX(KabKota[IDI]) - MIN(KabKota[IDI])) * 100</f>
        <v>96.17927171</v>
      </c>
      <c r="M205" s="9">
        <f t="shared" si="1"/>
        <v>56.90844146</v>
      </c>
      <c r="N205" s="11">
        <f>_xlfn.RANK.EQ(M205,KabKota[Rata-rata Skor])</f>
        <v>204</v>
      </c>
      <c r="O205" s="6">
        <f>COUNTIFS(KabKota[Regional], B205, KabKota[Rata-rata Skor], "&gt;"&amp;M205) + 1</f>
        <v>77</v>
      </c>
    </row>
    <row r="206" ht="22.5" customHeight="1">
      <c r="A206" s="5">
        <v>362.0</v>
      </c>
      <c r="B206" s="5" t="s">
        <v>77</v>
      </c>
      <c r="C206" s="5" t="s">
        <v>28</v>
      </c>
      <c r="D206" s="5" t="s">
        <v>270</v>
      </c>
      <c r="E206" s="7">
        <v>71.53</v>
      </c>
      <c r="F206" s="8">
        <v>0.003</v>
      </c>
      <c r="G206" s="7">
        <f>VLOOKUP(C206,Provinsi[[#ALL],[Daerah]:[IDI]],4,0)</f>
        <v>6.73</v>
      </c>
      <c r="H206" s="9">
        <f>VLOOKUP(C206,Provinsi[[#ALL],[Daerah]:[IDI]],5,0)</f>
        <v>80.69</v>
      </c>
      <c r="I206" s="9">
        <f>(E206 - MIN(KabKota[IPM])) / (MAX(KabKota[IPM]) - MIN(KabKota[IPM])) * 100</f>
        <v>63.37398374</v>
      </c>
      <c r="J206" s="9">
        <f>(F206 - MIN(KabKota[IKF])) / (MAX(KabKota[IKF]) - MIN(KabKota[IKF])) * 100</f>
        <v>0.375</v>
      </c>
      <c r="K206" s="9">
        <f>(G206 - MIN(KabKota[TIK])) / (MAX(KabKota[TIK]) - MIN(KabKota[TIK])) * 100</f>
        <v>73.37962963</v>
      </c>
      <c r="L206" s="9">
        <f>(H206 - MIN(KabKota[IDI])) / (MAX(KabKota[IDI]) - MIN(KabKota[IDI])) * 100</f>
        <v>90.40896359</v>
      </c>
      <c r="M206" s="9">
        <f t="shared" si="1"/>
        <v>56.88439424</v>
      </c>
      <c r="N206" s="11">
        <f>_xlfn.RANK.EQ(M206,KabKota[Rata-rata Skor])</f>
        <v>205</v>
      </c>
      <c r="O206" s="6">
        <f>COUNTIFS(KabKota[Regional], B206, KabKota[Rata-rata Skor], "&gt;"&amp;M206) + 1</f>
        <v>33</v>
      </c>
    </row>
    <row r="207" ht="22.5" customHeight="1">
      <c r="A207" s="5">
        <v>283.0</v>
      </c>
      <c r="B207" s="5" t="s">
        <v>60</v>
      </c>
      <c r="C207" s="5" t="s">
        <v>45</v>
      </c>
      <c r="D207" s="5" t="s">
        <v>271</v>
      </c>
      <c r="E207" s="7">
        <v>73.52</v>
      </c>
      <c r="F207" s="8">
        <v>0.165</v>
      </c>
      <c r="G207" s="7">
        <f>VLOOKUP(C207,Provinsi[[#ALL],[Daerah]:[IDI]],4,0)</f>
        <v>5.88</v>
      </c>
      <c r="H207" s="9">
        <f>VLOOKUP(C207,Provinsi[[#ALL],[Daerah]:[IDI]],5,0)</f>
        <v>76.37</v>
      </c>
      <c r="I207" s="9">
        <f>(E207 - MIN(KabKota[IPM])) / (MAX(KabKota[IPM]) - MIN(KabKota[IPM])) * 100</f>
        <v>67.41869919</v>
      </c>
      <c r="J207" s="9">
        <f>(F207 - MIN(KabKota[IKF])) / (MAX(KabKota[IKF]) - MIN(KabKota[IKF])) * 100</f>
        <v>20.625</v>
      </c>
      <c r="K207" s="9">
        <f>(G207 - MIN(KabKota[TIK])) / (MAX(KabKota[TIK]) - MIN(KabKota[TIK])) * 100</f>
        <v>53.7037037</v>
      </c>
      <c r="L207" s="9">
        <f>(H207 - MIN(KabKota[IDI])) / (MAX(KabKota[IDI]) - MIN(KabKota[IDI])) * 100</f>
        <v>85.56862745</v>
      </c>
      <c r="M207" s="9">
        <f t="shared" si="1"/>
        <v>56.82900759</v>
      </c>
      <c r="N207" s="11">
        <f>_xlfn.RANK.EQ(M207,KabKota[Rata-rata Skor])</f>
        <v>206</v>
      </c>
      <c r="O207" s="6">
        <f>COUNTIFS(KabKota[Regional], B207, KabKota[Rata-rata Skor], "&gt;"&amp;M207) + 1</f>
        <v>13</v>
      </c>
    </row>
    <row r="208" ht="22.5" customHeight="1">
      <c r="A208" s="5">
        <v>340.0</v>
      </c>
      <c r="B208" s="5" t="s">
        <v>77</v>
      </c>
      <c r="C208" s="5" t="s">
        <v>40</v>
      </c>
      <c r="D208" s="5" t="s">
        <v>272</v>
      </c>
      <c r="E208" s="7">
        <v>72.34</v>
      </c>
      <c r="F208" s="8">
        <v>0.139</v>
      </c>
      <c r="G208" s="7">
        <f>VLOOKUP(C208,Provinsi[[#ALL],[Daerah]:[IDI]],4,0)</f>
        <v>6.02</v>
      </c>
      <c r="H208" s="9">
        <f>VLOOKUP(C208,Provinsi[[#ALL],[Daerah]:[IDI]],5,0)</f>
        <v>78.47</v>
      </c>
      <c r="I208" s="9">
        <f>(E208 - MIN(KabKota[IPM])) / (MAX(KabKota[IPM]) - MIN(KabKota[IPM])) * 100</f>
        <v>65.0203252</v>
      </c>
      <c r="J208" s="9">
        <f>(F208 - MIN(KabKota[IKF])) / (MAX(KabKota[IKF]) - MIN(KabKota[IKF])) * 100</f>
        <v>17.375</v>
      </c>
      <c r="K208" s="9">
        <f>(G208 - MIN(KabKota[TIK])) / (MAX(KabKota[TIK]) - MIN(KabKota[TIK])) * 100</f>
        <v>56.94444444</v>
      </c>
      <c r="L208" s="9">
        <f>(H208 - MIN(KabKota[IDI])) / (MAX(KabKota[IDI]) - MIN(KabKota[IDI])) * 100</f>
        <v>87.92156863</v>
      </c>
      <c r="M208" s="9">
        <f t="shared" si="1"/>
        <v>56.81533457</v>
      </c>
      <c r="N208" s="11">
        <f>_xlfn.RANK.EQ(M208,KabKota[Rata-rata Skor])</f>
        <v>207</v>
      </c>
      <c r="O208" s="6">
        <f>COUNTIFS(KabKota[Regional], B208, KabKota[Rata-rata Skor], "&gt;"&amp;M208) + 1</f>
        <v>34</v>
      </c>
    </row>
    <row r="209" ht="22.5" customHeight="1">
      <c r="A209" s="5">
        <v>76.0</v>
      </c>
      <c r="B209" s="5" t="s">
        <v>70</v>
      </c>
      <c r="C209" s="5" t="s">
        <v>33</v>
      </c>
      <c r="D209" s="5" t="s">
        <v>273</v>
      </c>
      <c r="E209" s="7">
        <v>76.97</v>
      </c>
      <c r="F209" s="8">
        <v>0.03</v>
      </c>
      <c r="G209" s="7">
        <f>VLOOKUP(C209,Provinsi[[#ALL],[Daerah]:[IDI]],4,0)</f>
        <v>6.27</v>
      </c>
      <c r="H209" s="9">
        <f>VLOOKUP(C209,Provinsi[[#ALL],[Daerah]:[IDI]],5,0)</f>
        <v>77.06</v>
      </c>
      <c r="I209" s="9">
        <f>(E209 - MIN(KabKota[IPM])) / (MAX(KabKota[IPM]) - MIN(KabKota[IPM])) * 100</f>
        <v>74.43089431</v>
      </c>
      <c r="J209" s="9">
        <f>(F209 - MIN(KabKota[IKF])) / (MAX(KabKota[IKF]) - MIN(KabKota[IKF])) * 100</f>
        <v>3.75</v>
      </c>
      <c r="K209" s="9">
        <f>(G209 - MIN(KabKota[TIK])) / (MAX(KabKota[TIK]) - MIN(KabKota[TIK])) * 100</f>
        <v>62.73148148</v>
      </c>
      <c r="L209" s="9">
        <f>(H209 - MIN(KabKota[IDI])) / (MAX(KabKota[IDI]) - MIN(KabKota[IDI])) * 100</f>
        <v>86.34173669</v>
      </c>
      <c r="M209" s="9">
        <f t="shared" si="1"/>
        <v>56.81352812</v>
      </c>
      <c r="N209" s="11">
        <f>_xlfn.RANK.EQ(M209,KabKota[Rata-rata Skor])</f>
        <v>208</v>
      </c>
      <c r="O209" s="6">
        <f>COUNTIFS(KabKota[Regional], B209, KabKota[Rata-rata Skor], "&gt;"&amp;M209) + 1</f>
        <v>58</v>
      </c>
    </row>
    <row r="210" ht="22.5" customHeight="1">
      <c r="A210" s="5">
        <v>167.0</v>
      </c>
      <c r="B210" s="5" t="s">
        <v>63</v>
      </c>
      <c r="C210" s="5" t="s">
        <v>19</v>
      </c>
      <c r="D210" s="5" t="s">
        <v>274</v>
      </c>
      <c r="E210" s="7">
        <v>74.33</v>
      </c>
      <c r="F210" s="8">
        <v>0.01</v>
      </c>
      <c r="G210" s="7">
        <f>VLOOKUP(C210,Provinsi[[#ALL],[Daerah]:[IDI]],4,0)</f>
        <v>6.33</v>
      </c>
      <c r="H210" s="9">
        <f>VLOOKUP(C210,Provinsi[[#ALL],[Daerah]:[IDI]],5,0)</f>
        <v>82.8</v>
      </c>
      <c r="I210" s="9">
        <f>(E210 - MIN(KabKota[IPM])) / (MAX(KabKota[IPM]) - MIN(KabKota[IPM])) * 100</f>
        <v>69.06504065</v>
      </c>
      <c r="J210" s="9">
        <f>(F210 - MIN(KabKota[IKF])) / (MAX(KabKota[IKF]) - MIN(KabKota[IKF])) * 100</f>
        <v>1.25</v>
      </c>
      <c r="K210" s="9">
        <f>(G210 - MIN(KabKota[TIK])) / (MAX(KabKota[TIK]) - MIN(KabKota[TIK])) * 100</f>
        <v>64.12037037</v>
      </c>
      <c r="L210" s="9">
        <f>(H210 - MIN(KabKota[IDI])) / (MAX(KabKota[IDI]) - MIN(KabKota[IDI])) * 100</f>
        <v>92.77310924</v>
      </c>
      <c r="M210" s="9">
        <f t="shared" si="1"/>
        <v>56.80213007</v>
      </c>
      <c r="N210" s="11">
        <f>_xlfn.RANK.EQ(M210,KabKota[Rata-rata Skor])</f>
        <v>209</v>
      </c>
      <c r="O210" s="6">
        <f>COUNTIFS(KabKota[Regional], B210, KabKota[Rata-rata Skor], "&gt;"&amp;M210) + 1</f>
        <v>78</v>
      </c>
    </row>
    <row r="211" ht="22.5" customHeight="1">
      <c r="A211" s="5">
        <v>434.0</v>
      </c>
      <c r="B211" s="5" t="s">
        <v>75</v>
      </c>
      <c r="C211" s="5" t="s">
        <v>46</v>
      </c>
      <c r="D211" s="5" t="s">
        <v>275</v>
      </c>
      <c r="E211" s="7">
        <v>69.39</v>
      </c>
      <c r="F211" s="8">
        <v>0.188</v>
      </c>
      <c r="G211" s="7">
        <f>VLOOKUP(C211,Provinsi[[#ALL],[Daerah]:[IDI]],4,0)</f>
        <v>6.03</v>
      </c>
      <c r="H211" s="9">
        <f>VLOOKUP(C211,Provinsi[[#ALL],[Daerah]:[IDI]],5,0)</f>
        <v>78.04</v>
      </c>
      <c r="I211" s="9">
        <f>(E211 - MIN(KabKota[IPM])) / (MAX(KabKota[IPM]) - MIN(KabKota[IPM])) * 100</f>
        <v>59.02439024</v>
      </c>
      <c r="J211" s="9">
        <f>(F211 - MIN(KabKota[IKF])) / (MAX(KabKota[IKF]) - MIN(KabKota[IKF])) * 100</f>
        <v>23.5</v>
      </c>
      <c r="K211" s="9">
        <f>(G211 - MIN(KabKota[TIK])) / (MAX(KabKota[TIK]) - MIN(KabKota[TIK])) * 100</f>
        <v>57.17592593</v>
      </c>
      <c r="L211" s="9">
        <f>(H211 - MIN(KabKota[IDI])) / (MAX(KabKota[IDI]) - MIN(KabKota[IDI])) * 100</f>
        <v>87.43977591</v>
      </c>
      <c r="M211" s="9">
        <f t="shared" si="1"/>
        <v>56.78502302</v>
      </c>
      <c r="N211" s="11">
        <f>_xlfn.RANK.EQ(M211,KabKota[Rata-rata Skor])</f>
        <v>210</v>
      </c>
      <c r="O211" s="6">
        <f>COUNTIFS(KabKota[Regional], B211, KabKota[Rata-rata Skor], "&gt;"&amp;M211) + 1</f>
        <v>23</v>
      </c>
    </row>
    <row r="212" ht="22.5" customHeight="1">
      <c r="A212" s="5">
        <v>24.0</v>
      </c>
      <c r="B212" s="5" t="s">
        <v>70</v>
      </c>
      <c r="C212" s="5" t="s">
        <v>21</v>
      </c>
      <c r="D212" s="5" t="s">
        <v>276</v>
      </c>
      <c r="E212" s="7">
        <v>73.97</v>
      </c>
      <c r="F212" s="8">
        <v>0.061</v>
      </c>
      <c r="G212" s="7">
        <f>VLOOKUP(C212,Provinsi[[#ALL],[Daerah]:[IDI]],4,0)</f>
        <v>6.2</v>
      </c>
      <c r="H212" s="9">
        <f>VLOOKUP(C212,Provinsi[[#ALL],[Daerah]:[IDI]],5,0)</f>
        <v>80.19</v>
      </c>
      <c r="I212" s="9">
        <f>(E212 - MIN(KabKota[IPM])) / (MAX(KabKota[IPM]) - MIN(KabKota[IPM])) * 100</f>
        <v>68.33333333</v>
      </c>
      <c r="J212" s="9">
        <f>(F212 - MIN(KabKota[IKF])) / (MAX(KabKota[IKF]) - MIN(KabKota[IKF])) * 100</f>
        <v>7.625</v>
      </c>
      <c r="K212" s="9">
        <f>(G212 - MIN(KabKota[TIK])) / (MAX(KabKota[TIK]) - MIN(KabKota[TIK])) * 100</f>
        <v>61.11111111</v>
      </c>
      <c r="L212" s="9">
        <f>(H212 - MIN(KabKota[IDI])) / (MAX(KabKota[IDI]) - MIN(KabKota[IDI])) * 100</f>
        <v>89.8487395</v>
      </c>
      <c r="M212" s="9">
        <f t="shared" si="1"/>
        <v>56.72954599</v>
      </c>
      <c r="N212" s="11">
        <f>_xlfn.RANK.EQ(M212,KabKota[Rata-rata Skor])</f>
        <v>211</v>
      </c>
      <c r="O212" s="6">
        <f>COUNTIFS(KabKota[Regional], B212, KabKota[Rata-rata Skor], "&gt;"&amp;M212) + 1</f>
        <v>59</v>
      </c>
    </row>
    <row r="213" ht="22.5" customHeight="1">
      <c r="A213" s="5">
        <v>71.0</v>
      </c>
      <c r="B213" s="5" t="s">
        <v>70</v>
      </c>
      <c r="C213" s="5" t="s">
        <v>34</v>
      </c>
      <c r="D213" s="5" t="s">
        <v>277</v>
      </c>
      <c r="E213" s="7">
        <v>77.05</v>
      </c>
      <c r="F213" s="8">
        <v>0.007</v>
      </c>
      <c r="G213" s="7">
        <f>VLOOKUP(C213,Provinsi[[#ALL],[Daerah]:[IDI]],4,0)</f>
        <v>6.27</v>
      </c>
      <c r="H213" s="9">
        <f>VLOOKUP(C213,Provinsi[[#ALL],[Daerah]:[IDI]],5,0)</f>
        <v>78.83</v>
      </c>
      <c r="I213" s="9">
        <f>(E213 - MIN(KabKota[IPM])) / (MAX(KabKota[IPM]) - MIN(KabKota[IPM])) * 100</f>
        <v>74.59349593</v>
      </c>
      <c r="J213" s="9">
        <f>(F213 - MIN(KabKota[IKF])) / (MAX(KabKota[IKF]) - MIN(KabKota[IKF])) * 100</f>
        <v>0.875</v>
      </c>
      <c r="K213" s="9">
        <f>(G213 - MIN(KabKota[TIK])) / (MAX(KabKota[TIK]) - MIN(KabKota[TIK])) * 100</f>
        <v>62.73148148</v>
      </c>
      <c r="L213" s="9">
        <f>(H213 - MIN(KabKota[IDI])) / (MAX(KabKota[IDI]) - MIN(KabKota[IDI])) * 100</f>
        <v>88.32492997</v>
      </c>
      <c r="M213" s="9">
        <f t="shared" si="1"/>
        <v>56.63122685</v>
      </c>
      <c r="N213" s="11">
        <f>_xlfn.RANK.EQ(M213,KabKota[Rata-rata Skor])</f>
        <v>212</v>
      </c>
      <c r="O213" s="6">
        <f>COUNTIFS(KabKota[Regional], B213, KabKota[Rata-rata Skor], "&gt;"&amp;M213) + 1</f>
        <v>60</v>
      </c>
    </row>
    <row r="214" ht="22.5" customHeight="1">
      <c r="A214" s="5">
        <v>385.0</v>
      </c>
      <c r="B214" s="5" t="s">
        <v>75</v>
      </c>
      <c r="C214" s="5" t="s">
        <v>37</v>
      </c>
      <c r="D214" s="5" t="s">
        <v>278</v>
      </c>
      <c r="E214" s="7">
        <v>77.49</v>
      </c>
      <c r="F214" s="8">
        <v>0.017</v>
      </c>
      <c r="G214" s="7">
        <f>VLOOKUP(C214,Provinsi[[#ALL],[Daerah]:[IDI]],4,0)</f>
        <v>6.03</v>
      </c>
      <c r="H214" s="9">
        <f>VLOOKUP(C214,Provinsi[[#ALL],[Daerah]:[IDI]],5,0)</f>
        <v>81.87</v>
      </c>
      <c r="I214" s="9">
        <f>(E214 - MIN(KabKota[IPM])) / (MAX(KabKota[IPM]) - MIN(KabKota[IPM])) * 100</f>
        <v>75.48780488</v>
      </c>
      <c r="J214" s="9">
        <f>(F214 - MIN(KabKota[IKF])) / (MAX(KabKota[IKF]) - MIN(KabKota[IKF])) * 100</f>
        <v>2.125</v>
      </c>
      <c r="K214" s="9">
        <f>(G214 - MIN(KabKota[TIK])) / (MAX(KabKota[TIK]) - MIN(KabKota[TIK])) * 100</f>
        <v>57.17592593</v>
      </c>
      <c r="L214" s="9">
        <f>(H214 - MIN(KabKota[IDI])) / (MAX(KabKota[IDI]) - MIN(KabKota[IDI])) * 100</f>
        <v>91.73109244</v>
      </c>
      <c r="M214" s="9">
        <f t="shared" si="1"/>
        <v>56.62995581</v>
      </c>
      <c r="N214" s="11">
        <f>_xlfn.RANK.EQ(M214,KabKota[Rata-rata Skor])</f>
        <v>213</v>
      </c>
      <c r="O214" s="6">
        <f>COUNTIFS(KabKota[Regional], B214, KabKota[Rata-rata Skor], "&gt;"&amp;M214) + 1</f>
        <v>24</v>
      </c>
    </row>
    <row r="215" ht="22.5" customHeight="1">
      <c r="A215" s="5">
        <v>195.0</v>
      </c>
      <c r="B215" s="5" t="s">
        <v>63</v>
      </c>
      <c r="C215" s="5" t="s">
        <v>30</v>
      </c>
      <c r="D215" s="5" t="s">
        <v>279</v>
      </c>
      <c r="E215" s="7">
        <v>73.09</v>
      </c>
      <c r="F215" s="8">
        <v>0.062</v>
      </c>
      <c r="G215" s="7">
        <f>VLOOKUP(C215,Provinsi[[#ALL],[Daerah]:[IDI]],4,0)</f>
        <v>5.98</v>
      </c>
      <c r="H215" s="9">
        <f>VLOOKUP(C215,Provinsi[[#ALL],[Daerah]:[IDI]],5,0)</f>
        <v>85.84</v>
      </c>
      <c r="I215" s="9">
        <f>(E215 - MIN(KabKota[IPM])) / (MAX(KabKota[IPM]) - MIN(KabKota[IPM])) * 100</f>
        <v>66.54471545</v>
      </c>
      <c r="J215" s="9">
        <f>(F215 - MIN(KabKota[IKF])) / (MAX(KabKota[IKF]) - MIN(KabKota[IKF])) * 100</f>
        <v>7.75</v>
      </c>
      <c r="K215" s="9">
        <f>(G215 - MIN(KabKota[TIK])) / (MAX(KabKota[TIK]) - MIN(KabKota[TIK])) * 100</f>
        <v>56.01851852</v>
      </c>
      <c r="L215" s="9">
        <f>(H215 - MIN(KabKota[IDI])) / (MAX(KabKota[IDI]) - MIN(KabKota[IDI])) * 100</f>
        <v>96.17927171</v>
      </c>
      <c r="M215" s="9">
        <f t="shared" si="1"/>
        <v>56.62312642</v>
      </c>
      <c r="N215" s="11">
        <f>_xlfn.RANK.EQ(M215,KabKota[Rata-rata Skor])</f>
        <v>214</v>
      </c>
      <c r="O215" s="6">
        <f>COUNTIFS(KabKota[Regional], B215, KabKota[Rata-rata Skor], "&gt;"&amp;M215) + 1</f>
        <v>79</v>
      </c>
    </row>
    <row r="216" ht="22.5" customHeight="1">
      <c r="A216" s="5">
        <v>88.0</v>
      </c>
      <c r="B216" s="5" t="s">
        <v>70</v>
      </c>
      <c r="C216" s="5" t="s">
        <v>38</v>
      </c>
      <c r="D216" s="5" t="s">
        <v>280</v>
      </c>
      <c r="E216" s="7">
        <v>75.1</v>
      </c>
      <c r="F216" s="8">
        <v>0.052</v>
      </c>
      <c r="G216" s="7">
        <f>VLOOKUP(C216,Provinsi[[#ALL],[Daerah]:[IDI]],4,0)</f>
        <v>6.03</v>
      </c>
      <c r="H216" s="9">
        <f>VLOOKUP(C216,Provinsi[[#ALL],[Daerah]:[IDI]],5,0)</f>
        <v>82.27</v>
      </c>
      <c r="I216" s="9">
        <f>(E216 - MIN(KabKota[IPM])) / (MAX(KabKota[IPM]) - MIN(KabKota[IPM])) * 100</f>
        <v>70.6300813</v>
      </c>
      <c r="J216" s="9">
        <f>(F216 - MIN(KabKota[IKF])) / (MAX(KabKota[IKF]) - MIN(KabKota[IKF])) * 100</f>
        <v>6.5</v>
      </c>
      <c r="K216" s="9">
        <f>(G216 - MIN(KabKota[TIK])) / (MAX(KabKota[TIK]) - MIN(KabKota[TIK])) * 100</f>
        <v>57.17592593</v>
      </c>
      <c r="L216" s="9">
        <f>(H216 - MIN(KabKota[IDI])) / (MAX(KabKota[IDI]) - MIN(KabKota[IDI])) * 100</f>
        <v>92.17927171</v>
      </c>
      <c r="M216" s="9">
        <f t="shared" si="1"/>
        <v>56.62131973</v>
      </c>
      <c r="N216" s="11">
        <f>_xlfn.RANK.EQ(M216,KabKota[Rata-rata Skor])</f>
        <v>215</v>
      </c>
      <c r="O216" s="6">
        <f>COUNTIFS(KabKota[Regional], B216, KabKota[Rata-rata Skor], "&gt;"&amp;M216) + 1</f>
        <v>61</v>
      </c>
    </row>
    <row r="217" ht="22.5" customHeight="1">
      <c r="A217" s="5">
        <v>388.0</v>
      </c>
      <c r="B217" s="5" t="s">
        <v>75</v>
      </c>
      <c r="C217" s="5" t="s">
        <v>47</v>
      </c>
      <c r="D217" s="5" t="s">
        <v>281</v>
      </c>
      <c r="E217" s="7">
        <v>69.23</v>
      </c>
      <c r="F217" s="8">
        <v>0.192</v>
      </c>
      <c r="G217" s="7">
        <f>VLOOKUP(C217,Provinsi[[#ALL],[Daerah]:[IDI]],4,0)</f>
        <v>5.93</v>
      </c>
      <c r="H217" s="9">
        <f>VLOOKUP(C217,Provinsi[[#ALL],[Daerah]:[IDI]],5,0)</f>
        <v>79.35</v>
      </c>
      <c r="I217" s="9">
        <f>(E217 - MIN(KabKota[IPM])) / (MAX(KabKota[IPM]) - MIN(KabKota[IPM])) * 100</f>
        <v>58.69918699</v>
      </c>
      <c r="J217" s="9">
        <f>(F217 - MIN(KabKota[IKF])) / (MAX(KabKota[IKF]) - MIN(KabKota[IKF])) * 100</f>
        <v>24</v>
      </c>
      <c r="K217" s="9">
        <f>(G217 - MIN(KabKota[TIK])) / (MAX(KabKota[TIK]) - MIN(KabKota[TIK])) * 100</f>
        <v>54.86111111</v>
      </c>
      <c r="L217" s="9">
        <f>(H217 - MIN(KabKota[IDI])) / (MAX(KabKota[IDI]) - MIN(KabKota[IDI])) * 100</f>
        <v>88.90756303</v>
      </c>
      <c r="M217" s="9">
        <f t="shared" si="1"/>
        <v>56.61696528</v>
      </c>
      <c r="N217" s="11">
        <f>_xlfn.RANK.EQ(M217,KabKota[Rata-rata Skor])</f>
        <v>216</v>
      </c>
      <c r="O217" s="6">
        <f>COUNTIFS(KabKota[Regional], B217, KabKota[Rata-rata Skor], "&gt;"&amp;M217) + 1</f>
        <v>25</v>
      </c>
    </row>
    <row r="218" ht="22.5" customHeight="1">
      <c r="A218" s="5">
        <v>16.0</v>
      </c>
      <c r="B218" s="5" t="s">
        <v>70</v>
      </c>
      <c r="C218" s="5" t="s">
        <v>36</v>
      </c>
      <c r="D218" s="5" t="s">
        <v>282</v>
      </c>
      <c r="E218" s="7">
        <v>74.78</v>
      </c>
      <c r="F218" s="8">
        <v>0.126</v>
      </c>
      <c r="G218" s="7">
        <f>VLOOKUP(C218,Provinsi[[#ALL],[Daerah]:[IDI]],4,0)</f>
        <v>5.97</v>
      </c>
      <c r="H218" s="9">
        <f>VLOOKUP(C218,Provinsi[[#ALL],[Daerah]:[IDI]],5,0)</f>
        <v>75.8</v>
      </c>
      <c r="I218" s="9">
        <f>(E218 - MIN(KabKota[IPM])) / (MAX(KabKota[IPM]) - MIN(KabKota[IPM])) * 100</f>
        <v>69.9796748</v>
      </c>
      <c r="J218" s="9">
        <f>(F218 - MIN(KabKota[IKF])) / (MAX(KabKota[IKF]) - MIN(KabKota[IKF])) * 100</f>
        <v>15.75</v>
      </c>
      <c r="K218" s="9">
        <f>(G218 - MIN(KabKota[TIK])) / (MAX(KabKota[TIK]) - MIN(KabKota[TIK])) * 100</f>
        <v>55.78703704</v>
      </c>
      <c r="L218" s="9">
        <f>(H218 - MIN(KabKota[IDI])) / (MAX(KabKota[IDI]) - MIN(KabKota[IDI])) * 100</f>
        <v>84.92997199</v>
      </c>
      <c r="M218" s="9">
        <f t="shared" si="1"/>
        <v>56.61167096</v>
      </c>
      <c r="N218" s="11">
        <f>_xlfn.RANK.EQ(M218,KabKota[Rata-rata Skor])</f>
        <v>217</v>
      </c>
      <c r="O218" s="6">
        <f>COUNTIFS(KabKota[Regional], B218, KabKota[Rata-rata Skor], "&gt;"&amp;M218) + 1</f>
        <v>62</v>
      </c>
    </row>
    <row r="219" ht="22.5" customHeight="1">
      <c r="A219" s="5">
        <v>199.0</v>
      </c>
      <c r="B219" s="5" t="s">
        <v>63</v>
      </c>
      <c r="C219" s="5" t="s">
        <v>30</v>
      </c>
      <c r="D219" s="5" t="s">
        <v>283</v>
      </c>
      <c r="E219" s="7">
        <v>73.42</v>
      </c>
      <c r="F219" s="8">
        <v>0.056</v>
      </c>
      <c r="G219" s="7">
        <f>VLOOKUP(C219,Provinsi[[#ALL],[Daerah]:[IDI]],4,0)</f>
        <v>5.98</v>
      </c>
      <c r="H219" s="9">
        <f>VLOOKUP(C219,Provinsi[[#ALL],[Daerah]:[IDI]],5,0)</f>
        <v>85.84</v>
      </c>
      <c r="I219" s="9">
        <f>(E219 - MIN(KabKota[IPM])) / (MAX(KabKota[IPM]) - MIN(KabKota[IPM])) * 100</f>
        <v>67.21544715</v>
      </c>
      <c r="J219" s="9">
        <f>(F219 - MIN(KabKota[IKF])) / (MAX(KabKota[IKF]) - MIN(KabKota[IKF])) * 100</f>
        <v>7</v>
      </c>
      <c r="K219" s="9">
        <f>(G219 - MIN(KabKota[TIK])) / (MAX(KabKota[TIK]) - MIN(KabKota[TIK])) * 100</f>
        <v>56.01851852</v>
      </c>
      <c r="L219" s="9">
        <f>(H219 - MIN(KabKota[IDI])) / (MAX(KabKota[IDI]) - MIN(KabKota[IDI])) * 100</f>
        <v>96.17927171</v>
      </c>
      <c r="M219" s="9">
        <f t="shared" si="1"/>
        <v>56.60330935</v>
      </c>
      <c r="N219" s="11">
        <f>_xlfn.RANK.EQ(M219,KabKota[Rata-rata Skor])</f>
        <v>218</v>
      </c>
      <c r="O219" s="6">
        <f>COUNTIFS(KabKota[Regional], B219, KabKota[Rata-rata Skor], "&gt;"&amp;M219) + 1</f>
        <v>80</v>
      </c>
    </row>
    <row r="220" ht="22.5" customHeight="1">
      <c r="A220" s="5">
        <v>290.0</v>
      </c>
      <c r="B220" s="5" t="s">
        <v>60</v>
      </c>
      <c r="C220" s="5" t="s">
        <v>45</v>
      </c>
      <c r="D220" s="5" t="s">
        <v>284</v>
      </c>
      <c r="E220" s="7">
        <v>69.63</v>
      </c>
      <c r="F220" s="8">
        <v>0.221</v>
      </c>
      <c r="G220" s="7">
        <f>VLOOKUP(C220,Provinsi[[#ALL],[Daerah]:[IDI]],4,0)</f>
        <v>5.88</v>
      </c>
      <c r="H220" s="9">
        <f>VLOOKUP(C220,Provinsi[[#ALL],[Daerah]:[IDI]],5,0)</f>
        <v>76.37</v>
      </c>
      <c r="I220" s="9">
        <f>(E220 - MIN(KabKota[IPM])) / (MAX(KabKota[IPM]) - MIN(KabKota[IPM])) * 100</f>
        <v>59.51219512</v>
      </c>
      <c r="J220" s="9">
        <f>(F220 - MIN(KabKota[IKF])) / (MAX(KabKota[IKF]) - MIN(KabKota[IKF])) * 100</f>
        <v>27.625</v>
      </c>
      <c r="K220" s="9">
        <f>(G220 - MIN(KabKota[TIK])) / (MAX(KabKota[TIK]) - MIN(KabKota[TIK])) * 100</f>
        <v>53.7037037</v>
      </c>
      <c r="L220" s="9">
        <f>(H220 - MIN(KabKota[IDI])) / (MAX(KabKota[IDI]) - MIN(KabKota[IDI])) * 100</f>
        <v>85.56862745</v>
      </c>
      <c r="M220" s="9">
        <f t="shared" si="1"/>
        <v>56.60238157</v>
      </c>
      <c r="N220" s="11">
        <f>_xlfn.RANK.EQ(M220,KabKota[Rata-rata Skor])</f>
        <v>219</v>
      </c>
      <c r="O220" s="6">
        <f>COUNTIFS(KabKota[Regional], B220, KabKota[Rata-rata Skor], "&gt;"&amp;M220) + 1</f>
        <v>14</v>
      </c>
    </row>
    <row r="221" ht="22.5" customHeight="1">
      <c r="A221" s="5">
        <v>414.0</v>
      </c>
      <c r="B221" s="5" t="s">
        <v>75</v>
      </c>
      <c r="C221" s="5" t="s">
        <v>32</v>
      </c>
      <c r="D221" s="5" t="s">
        <v>285</v>
      </c>
      <c r="E221" s="7">
        <v>76.5</v>
      </c>
      <c r="F221" s="8">
        <v>0.025</v>
      </c>
      <c r="G221" s="7">
        <f>VLOOKUP(C221,Provinsi[[#ALL],[Daerah]:[IDI]],4,0)</f>
        <v>6.21</v>
      </c>
      <c r="H221" s="9">
        <f>VLOOKUP(C221,Provinsi[[#ALL],[Daerah]:[IDI]],5,0)</f>
        <v>78.93</v>
      </c>
      <c r="I221" s="9">
        <f>(E221 - MIN(KabKota[IPM])) / (MAX(KabKota[IPM]) - MIN(KabKota[IPM])) * 100</f>
        <v>73.47560976</v>
      </c>
      <c r="J221" s="9">
        <f>(F221 - MIN(KabKota[IKF])) / (MAX(KabKota[IKF]) - MIN(KabKota[IKF])) * 100</f>
        <v>3.125</v>
      </c>
      <c r="K221" s="9">
        <f>(G221 - MIN(KabKota[TIK])) / (MAX(KabKota[TIK]) - MIN(KabKota[TIK])) * 100</f>
        <v>61.34259259</v>
      </c>
      <c r="L221" s="9">
        <f>(H221 - MIN(KabKota[IDI])) / (MAX(KabKota[IDI]) - MIN(KabKota[IDI])) * 100</f>
        <v>88.43697479</v>
      </c>
      <c r="M221" s="9">
        <f t="shared" si="1"/>
        <v>56.59504428</v>
      </c>
      <c r="N221" s="11">
        <f>_xlfn.RANK.EQ(M221,KabKota[Rata-rata Skor])</f>
        <v>220</v>
      </c>
      <c r="O221" s="6">
        <f>COUNTIFS(KabKota[Regional], B221, KabKota[Rata-rata Skor], "&gt;"&amp;M221) + 1</f>
        <v>26</v>
      </c>
    </row>
    <row r="222" ht="22.5" customHeight="1">
      <c r="A222" s="5">
        <v>400.0</v>
      </c>
      <c r="B222" s="5" t="s">
        <v>75</v>
      </c>
      <c r="C222" s="5" t="s">
        <v>32</v>
      </c>
      <c r="D222" s="5" t="s">
        <v>286</v>
      </c>
      <c r="E222" s="7">
        <v>75.26</v>
      </c>
      <c r="F222" s="8">
        <v>0.045</v>
      </c>
      <c r="G222" s="7">
        <f>VLOOKUP(C222,Provinsi[[#ALL],[Daerah]:[IDI]],4,0)</f>
        <v>6.21</v>
      </c>
      <c r="H222" s="9">
        <f>VLOOKUP(C222,Provinsi[[#ALL],[Daerah]:[IDI]],5,0)</f>
        <v>78.93</v>
      </c>
      <c r="I222" s="9">
        <f>(E222 - MIN(KabKota[IPM])) / (MAX(KabKota[IPM]) - MIN(KabKota[IPM])) * 100</f>
        <v>70.95528455</v>
      </c>
      <c r="J222" s="9">
        <f>(F222 - MIN(KabKota[IKF])) / (MAX(KabKota[IKF]) - MIN(KabKota[IKF])) * 100</f>
        <v>5.625</v>
      </c>
      <c r="K222" s="9">
        <f>(G222 - MIN(KabKota[TIK])) / (MAX(KabKota[TIK]) - MIN(KabKota[TIK])) * 100</f>
        <v>61.34259259</v>
      </c>
      <c r="L222" s="9">
        <f>(H222 - MIN(KabKota[IDI])) / (MAX(KabKota[IDI]) - MIN(KabKota[IDI])) * 100</f>
        <v>88.43697479</v>
      </c>
      <c r="M222" s="9">
        <f t="shared" si="1"/>
        <v>56.58996298</v>
      </c>
      <c r="N222" s="11">
        <f>_xlfn.RANK.EQ(M222,KabKota[Rata-rata Skor])</f>
        <v>221</v>
      </c>
      <c r="O222" s="6">
        <f>COUNTIFS(KabKota[Regional], B222, KabKota[Rata-rata Skor], "&gt;"&amp;M222) + 1</f>
        <v>27</v>
      </c>
    </row>
    <row r="223" ht="22.5" customHeight="1">
      <c r="A223" s="5">
        <v>40.0</v>
      </c>
      <c r="B223" s="5" t="s">
        <v>70</v>
      </c>
      <c r="C223" s="5" t="s">
        <v>21</v>
      </c>
      <c r="D223" s="5" t="s">
        <v>287</v>
      </c>
      <c r="E223" s="7">
        <v>74.63</v>
      </c>
      <c r="F223" s="8">
        <v>0.045</v>
      </c>
      <c r="G223" s="7">
        <f>VLOOKUP(C223,Provinsi[[#ALL],[Daerah]:[IDI]],4,0)</f>
        <v>6.2</v>
      </c>
      <c r="H223" s="9">
        <f>VLOOKUP(C223,Provinsi[[#ALL],[Daerah]:[IDI]],5,0)</f>
        <v>80.19</v>
      </c>
      <c r="I223" s="9">
        <f>(E223 - MIN(KabKota[IPM])) / (MAX(KabKota[IPM]) - MIN(KabKota[IPM])) * 100</f>
        <v>69.67479675</v>
      </c>
      <c r="J223" s="9">
        <f>(F223 - MIN(KabKota[IKF])) / (MAX(KabKota[IKF]) - MIN(KabKota[IKF])) * 100</f>
        <v>5.625</v>
      </c>
      <c r="K223" s="9">
        <f>(G223 - MIN(KabKota[TIK])) / (MAX(KabKota[TIK]) - MIN(KabKota[TIK])) * 100</f>
        <v>61.11111111</v>
      </c>
      <c r="L223" s="9">
        <f>(H223 - MIN(KabKota[IDI])) / (MAX(KabKota[IDI]) - MIN(KabKota[IDI])) * 100</f>
        <v>89.8487395</v>
      </c>
      <c r="M223" s="9">
        <f t="shared" si="1"/>
        <v>56.56491184</v>
      </c>
      <c r="N223" s="11">
        <f>_xlfn.RANK.EQ(M223,KabKota[Rata-rata Skor])</f>
        <v>222</v>
      </c>
      <c r="O223" s="6">
        <f>COUNTIFS(KabKota[Regional], B223, KabKota[Rata-rata Skor], "&gt;"&amp;M223) + 1</f>
        <v>63</v>
      </c>
    </row>
    <row r="224" ht="22.5" customHeight="1">
      <c r="A224" s="5">
        <v>419.0</v>
      </c>
      <c r="B224" s="5" t="s">
        <v>75</v>
      </c>
      <c r="C224" s="5" t="s">
        <v>32</v>
      </c>
      <c r="D224" s="5" t="s">
        <v>288</v>
      </c>
      <c r="E224" s="7">
        <v>73.24</v>
      </c>
      <c r="F224" s="8">
        <v>0.077</v>
      </c>
      <c r="G224" s="7">
        <f>VLOOKUP(C224,Provinsi[[#ALL],[Daerah]:[IDI]],4,0)</f>
        <v>6.21</v>
      </c>
      <c r="H224" s="9">
        <f>VLOOKUP(C224,Provinsi[[#ALL],[Daerah]:[IDI]],5,0)</f>
        <v>78.93</v>
      </c>
      <c r="I224" s="9">
        <f>(E224 - MIN(KabKota[IPM])) / (MAX(KabKota[IPM]) - MIN(KabKota[IPM])) * 100</f>
        <v>66.8495935</v>
      </c>
      <c r="J224" s="9">
        <f>(F224 - MIN(KabKota[IKF])) / (MAX(KabKota[IKF]) - MIN(KabKota[IKF])) * 100</f>
        <v>9.625</v>
      </c>
      <c r="K224" s="9">
        <f>(G224 - MIN(KabKota[TIK])) / (MAX(KabKota[TIK]) - MIN(KabKota[TIK])) * 100</f>
        <v>61.34259259</v>
      </c>
      <c r="L224" s="9">
        <f>(H224 - MIN(KabKota[IDI])) / (MAX(KabKota[IDI]) - MIN(KabKota[IDI])) * 100</f>
        <v>88.43697479</v>
      </c>
      <c r="M224" s="9">
        <f t="shared" si="1"/>
        <v>56.56354022</v>
      </c>
      <c r="N224" s="11">
        <f>_xlfn.RANK.EQ(M224,KabKota[Rata-rata Skor])</f>
        <v>223</v>
      </c>
      <c r="O224" s="6">
        <f>COUNTIFS(KabKota[Regional], B224, KabKota[Rata-rata Skor], "&gt;"&amp;M224) + 1</f>
        <v>28</v>
      </c>
    </row>
    <row r="225" ht="22.5" customHeight="1">
      <c r="A225" s="5">
        <v>229.0</v>
      </c>
      <c r="B225" s="5" t="s">
        <v>63</v>
      </c>
      <c r="C225" s="5" t="s">
        <v>23</v>
      </c>
      <c r="D225" s="5" t="s">
        <v>289</v>
      </c>
      <c r="E225" s="7">
        <v>74.65</v>
      </c>
      <c r="F225" s="8">
        <v>0.033</v>
      </c>
      <c r="G225" s="7">
        <f>VLOOKUP(C225,Provinsi[[#ALL],[Daerah]:[IDI]],4,0)</f>
        <v>6.07</v>
      </c>
      <c r="H225" s="9">
        <f>VLOOKUP(C225,Provinsi[[#ALL],[Daerah]:[IDI]],5,0)</f>
        <v>84.17</v>
      </c>
      <c r="I225" s="9">
        <f>(E225 - MIN(KabKota[IPM])) / (MAX(KabKota[IPM]) - MIN(KabKota[IPM])) * 100</f>
        <v>69.71544715</v>
      </c>
      <c r="J225" s="9">
        <f>(F225 - MIN(KabKota[IKF])) / (MAX(KabKota[IKF]) - MIN(KabKota[IKF])) * 100</f>
        <v>4.125</v>
      </c>
      <c r="K225" s="9">
        <f>(G225 - MIN(KabKota[TIK])) / (MAX(KabKota[TIK]) - MIN(KabKota[TIK])) * 100</f>
        <v>58.10185185</v>
      </c>
      <c r="L225" s="9">
        <f>(H225 - MIN(KabKota[IDI])) / (MAX(KabKota[IDI]) - MIN(KabKota[IDI])) * 100</f>
        <v>94.30812325</v>
      </c>
      <c r="M225" s="9">
        <f t="shared" si="1"/>
        <v>56.56260556</v>
      </c>
      <c r="N225" s="11">
        <f>_xlfn.RANK.EQ(M225,KabKota[Rata-rata Skor])</f>
        <v>224</v>
      </c>
      <c r="O225" s="6">
        <f>COUNTIFS(KabKota[Regional], B225, KabKota[Rata-rata Skor], "&gt;"&amp;M225) + 1</f>
        <v>81</v>
      </c>
    </row>
    <row r="226" ht="22.5" customHeight="1">
      <c r="A226" s="5">
        <v>412.0</v>
      </c>
      <c r="B226" s="5" t="s">
        <v>75</v>
      </c>
      <c r="C226" s="5" t="s">
        <v>32</v>
      </c>
      <c r="D226" s="5" t="s">
        <v>290</v>
      </c>
      <c r="E226" s="7">
        <v>75.49</v>
      </c>
      <c r="F226" s="8">
        <v>0.04</v>
      </c>
      <c r="G226" s="7">
        <f>VLOOKUP(C226,Provinsi[[#ALL],[Daerah]:[IDI]],4,0)</f>
        <v>6.21</v>
      </c>
      <c r="H226" s="9">
        <f>VLOOKUP(C226,Provinsi[[#ALL],[Daerah]:[IDI]],5,0)</f>
        <v>78.93</v>
      </c>
      <c r="I226" s="9">
        <f>(E226 - MIN(KabKota[IPM])) / (MAX(KabKota[IPM]) - MIN(KabKota[IPM])) * 100</f>
        <v>71.42276423</v>
      </c>
      <c r="J226" s="9">
        <f>(F226 - MIN(KabKota[IKF])) / (MAX(KabKota[IKF]) - MIN(KabKota[IKF])) * 100</f>
        <v>5</v>
      </c>
      <c r="K226" s="9">
        <f>(G226 - MIN(KabKota[TIK])) / (MAX(KabKota[TIK]) - MIN(KabKota[TIK])) * 100</f>
        <v>61.34259259</v>
      </c>
      <c r="L226" s="9">
        <f>(H226 - MIN(KabKota[IDI])) / (MAX(KabKota[IDI]) - MIN(KabKota[IDI])) * 100</f>
        <v>88.43697479</v>
      </c>
      <c r="M226" s="9">
        <f t="shared" si="1"/>
        <v>56.5505829</v>
      </c>
      <c r="N226" s="11">
        <f>_xlfn.RANK.EQ(M226,KabKota[Rata-rata Skor])</f>
        <v>225</v>
      </c>
      <c r="O226" s="6">
        <f>COUNTIFS(KabKota[Regional], B226, KabKota[Rata-rata Skor], "&gt;"&amp;M226) + 1</f>
        <v>29</v>
      </c>
    </row>
    <row r="227" ht="22.5" customHeight="1">
      <c r="A227" s="5">
        <v>235.0</v>
      </c>
      <c r="B227" s="5" t="s">
        <v>63</v>
      </c>
      <c r="C227" s="5" t="s">
        <v>23</v>
      </c>
      <c r="D227" s="5" t="s">
        <v>291</v>
      </c>
      <c r="E227" s="7">
        <v>71.02</v>
      </c>
      <c r="F227" s="8">
        <v>0.091</v>
      </c>
      <c r="G227" s="7">
        <f>VLOOKUP(C227,Provinsi[[#ALL],[Daerah]:[IDI]],4,0)</f>
        <v>6.07</v>
      </c>
      <c r="H227" s="9">
        <f>VLOOKUP(C227,Provinsi[[#ALL],[Daerah]:[IDI]],5,0)</f>
        <v>84.17</v>
      </c>
      <c r="I227" s="9">
        <f>(E227 - MIN(KabKota[IPM])) / (MAX(KabKota[IPM]) - MIN(KabKota[IPM])) * 100</f>
        <v>62.33739837</v>
      </c>
      <c r="J227" s="9">
        <f>(F227 - MIN(KabKota[IKF])) / (MAX(KabKota[IKF]) - MIN(KabKota[IKF])) * 100</f>
        <v>11.375</v>
      </c>
      <c r="K227" s="9">
        <f>(G227 - MIN(KabKota[TIK])) / (MAX(KabKota[TIK]) - MIN(KabKota[TIK])) * 100</f>
        <v>58.10185185</v>
      </c>
      <c r="L227" s="9">
        <f>(H227 - MIN(KabKota[IDI])) / (MAX(KabKota[IDI]) - MIN(KabKota[IDI])) * 100</f>
        <v>94.30812325</v>
      </c>
      <c r="M227" s="9">
        <f t="shared" si="1"/>
        <v>56.53059337</v>
      </c>
      <c r="N227" s="11">
        <f>_xlfn.RANK.EQ(M227,KabKota[Rata-rata Skor])</f>
        <v>226</v>
      </c>
      <c r="O227" s="6">
        <f>COUNTIFS(KabKota[Regional], B227, KabKota[Rata-rata Skor], "&gt;"&amp;M227) + 1</f>
        <v>82</v>
      </c>
    </row>
    <row r="228" ht="22.5" customHeight="1">
      <c r="A228" s="5">
        <v>96.0</v>
      </c>
      <c r="B228" s="5" t="s">
        <v>70</v>
      </c>
      <c r="C228" s="5" t="s">
        <v>38</v>
      </c>
      <c r="D228" s="5" t="s">
        <v>292</v>
      </c>
      <c r="E228" s="7">
        <v>73.41</v>
      </c>
      <c r="F228" s="8">
        <v>0.076</v>
      </c>
      <c r="G228" s="7">
        <f>VLOOKUP(C228,Provinsi[[#ALL],[Daerah]:[IDI]],4,0)</f>
        <v>6.03</v>
      </c>
      <c r="H228" s="9">
        <f>VLOOKUP(C228,Provinsi[[#ALL],[Daerah]:[IDI]],5,0)</f>
        <v>82.27</v>
      </c>
      <c r="I228" s="9">
        <f>(E228 - MIN(KabKota[IPM])) / (MAX(KabKota[IPM]) - MIN(KabKota[IPM])) * 100</f>
        <v>67.19512195</v>
      </c>
      <c r="J228" s="9">
        <f>(F228 - MIN(KabKota[IKF])) / (MAX(KabKota[IKF]) - MIN(KabKota[IKF])) * 100</f>
        <v>9.5</v>
      </c>
      <c r="K228" s="9">
        <f>(G228 - MIN(KabKota[TIK])) / (MAX(KabKota[TIK]) - MIN(KabKota[TIK])) * 100</f>
        <v>57.17592593</v>
      </c>
      <c r="L228" s="9">
        <f>(H228 - MIN(KabKota[IDI])) / (MAX(KabKota[IDI]) - MIN(KabKota[IDI])) * 100</f>
        <v>92.17927171</v>
      </c>
      <c r="M228" s="9">
        <f t="shared" si="1"/>
        <v>56.5125799</v>
      </c>
      <c r="N228" s="11">
        <f>_xlfn.RANK.EQ(M228,KabKota[Rata-rata Skor])</f>
        <v>227</v>
      </c>
      <c r="O228" s="6">
        <f>COUNTIFS(KabKota[Regional], B228, KabKota[Rata-rata Skor], "&gt;"&amp;M228) + 1</f>
        <v>64</v>
      </c>
    </row>
    <row r="229" ht="22.5" customHeight="1">
      <c r="A229" s="5">
        <v>60.0</v>
      </c>
      <c r="B229" s="5" t="s">
        <v>70</v>
      </c>
      <c r="C229" s="5" t="s">
        <v>34</v>
      </c>
      <c r="D229" s="5" t="s">
        <v>293</v>
      </c>
      <c r="E229" s="7">
        <v>77.04</v>
      </c>
      <c r="F229" s="8">
        <v>0.003</v>
      </c>
      <c r="G229" s="7">
        <f>VLOOKUP(C229,Provinsi[[#ALL],[Daerah]:[IDI]],4,0)</f>
        <v>6.27</v>
      </c>
      <c r="H229" s="9">
        <f>VLOOKUP(C229,Provinsi[[#ALL],[Daerah]:[IDI]],5,0)</f>
        <v>78.83</v>
      </c>
      <c r="I229" s="9">
        <f>(E229 - MIN(KabKota[IPM])) / (MAX(KabKota[IPM]) - MIN(KabKota[IPM])) * 100</f>
        <v>74.57317073</v>
      </c>
      <c r="J229" s="9">
        <f>(F229 - MIN(KabKota[IKF])) / (MAX(KabKota[IKF]) - MIN(KabKota[IKF])) * 100</f>
        <v>0.375</v>
      </c>
      <c r="K229" s="9">
        <f>(G229 - MIN(KabKota[TIK])) / (MAX(KabKota[TIK]) - MIN(KabKota[TIK])) * 100</f>
        <v>62.73148148</v>
      </c>
      <c r="L229" s="9">
        <f>(H229 - MIN(KabKota[IDI])) / (MAX(KabKota[IDI]) - MIN(KabKota[IDI])) * 100</f>
        <v>88.32492997</v>
      </c>
      <c r="M229" s="9">
        <f t="shared" si="1"/>
        <v>56.50114555</v>
      </c>
      <c r="N229" s="11">
        <f>_xlfn.RANK.EQ(M229,KabKota[Rata-rata Skor])</f>
        <v>228</v>
      </c>
      <c r="O229" s="6">
        <f>COUNTIFS(KabKota[Regional], B229, KabKota[Rata-rata Skor], "&gt;"&amp;M229) + 1</f>
        <v>65</v>
      </c>
    </row>
    <row r="230" ht="22.5" customHeight="1">
      <c r="A230" s="5">
        <v>269.0</v>
      </c>
      <c r="B230" s="5" t="s">
        <v>63</v>
      </c>
      <c r="C230" s="5" t="s">
        <v>22</v>
      </c>
      <c r="D230" s="5" t="s">
        <v>294</v>
      </c>
      <c r="E230" s="7">
        <v>74.1</v>
      </c>
      <c r="F230" s="8">
        <v>0.033</v>
      </c>
      <c r="G230" s="7">
        <f>VLOOKUP(C230,Provinsi[[#ALL],[Daerah]:[IDI]],4,0)</f>
        <v>6.46</v>
      </c>
      <c r="H230" s="9">
        <f>VLOOKUP(C230,Provinsi[[#ALL],[Daerah]:[IDI]],5,0)</f>
        <v>76.87</v>
      </c>
      <c r="I230" s="9">
        <f>(E230 - MIN(KabKota[IPM])) / (MAX(KabKota[IPM]) - MIN(KabKota[IPM])) * 100</f>
        <v>68.59756098</v>
      </c>
      <c r="J230" s="9">
        <f>(F230 - MIN(KabKota[IKF])) / (MAX(KabKota[IKF]) - MIN(KabKota[IKF])) * 100</f>
        <v>4.125</v>
      </c>
      <c r="K230" s="9">
        <f>(G230 - MIN(KabKota[TIK])) / (MAX(KabKota[TIK]) - MIN(KabKota[TIK])) * 100</f>
        <v>67.12962963</v>
      </c>
      <c r="L230" s="9">
        <f>(H230 - MIN(KabKota[IDI])) / (MAX(KabKota[IDI]) - MIN(KabKota[IDI])) * 100</f>
        <v>86.12885154</v>
      </c>
      <c r="M230" s="9">
        <f t="shared" si="1"/>
        <v>56.49526054</v>
      </c>
      <c r="N230" s="11">
        <f>_xlfn.RANK.EQ(M230,KabKota[Rata-rata Skor])</f>
        <v>229</v>
      </c>
      <c r="O230" s="6">
        <f>COUNTIFS(KabKota[Regional], B230, KabKota[Rata-rata Skor], "&gt;"&amp;M230) + 1</f>
        <v>83</v>
      </c>
    </row>
    <row r="231" ht="22.5" customHeight="1">
      <c r="A231" s="5">
        <v>47.0</v>
      </c>
      <c r="B231" s="5" t="s">
        <v>70</v>
      </c>
      <c r="C231" s="5" t="s">
        <v>21</v>
      </c>
      <c r="D231" s="5" t="s">
        <v>295</v>
      </c>
      <c r="E231" s="7">
        <v>67.38</v>
      </c>
      <c r="F231" s="8">
        <v>0.16</v>
      </c>
      <c r="G231" s="7">
        <f>VLOOKUP(C231,Provinsi[[#ALL],[Daerah]:[IDI]],4,0)</f>
        <v>6.2</v>
      </c>
      <c r="H231" s="9">
        <f>VLOOKUP(C231,Provinsi[[#ALL],[Daerah]:[IDI]],5,0)</f>
        <v>80.19</v>
      </c>
      <c r="I231" s="9">
        <f>(E231 - MIN(KabKota[IPM])) / (MAX(KabKota[IPM]) - MIN(KabKota[IPM])) * 100</f>
        <v>54.93902439</v>
      </c>
      <c r="J231" s="9">
        <f>(F231 - MIN(KabKota[IKF])) / (MAX(KabKota[IKF]) - MIN(KabKota[IKF])) * 100</f>
        <v>20</v>
      </c>
      <c r="K231" s="9">
        <f>(G231 - MIN(KabKota[TIK])) / (MAX(KabKota[TIK]) - MIN(KabKota[TIK])) * 100</f>
        <v>61.11111111</v>
      </c>
      <c r="L231" s="9">
        <f>(H231 - MIN(KabKota[IDI])) / (MAX(KabKota[IDI]) - MIN(KabKota[IDI])) * 100</f>
        <v>89.8487395</v>
      </c>
      <c r="M231" s="9">
        <f t="shared" si="1"/>
        <v>56.47471875</v>
      </c>
      <c r="N231" s="11">
        <f>_xlfn.RANK.EQ(M231,KabKota[Rata-rata Skor])</f>
        <v>230</v>
      </c>
      <c r="O231" s="6">
        <f>COUNTIFS(KabKota[Regional], B231, KabKota[Rata-rata Skor], "&gt;"&amp;M231) + 1</f>
        <v>66</v>
      </c>
    </row>
    <row r="232" ht="22.5" customHeight="1">
      <c r="A232" s="5">
        <v>41.0</v>
      </c>
      <c r="B232" s="5" t="s">
        <v>70</v>
      </c>
      <c r="C232" s="5" t="s">
        <v>21</v>
      </c>
      <c r="D232" s="5" t="s">
        <v>296</v>
      </c>
      <c r="E232" s="7">
        <v>74.69</v>
      </c>
      <c r="F232" s="8">
        <v>0.04</v>
      </c>
      <c r="G232" s="7">
        <f>VLOOKUP(C232,Provinsi[[#ALL],[Daerah]:[IDI]],4,0)</f>
        <v>6.2</v>
      </c>
      <c r="H232" s="9">
        <f>VLOOKUP(C232,Provinsi[[#ALL],[Daerah]:[IDI]],5,0)</f>
        <v>80.19</v>
      </c>
      <c r="I232" s="9">
        <f>(E232 - MIN(KabKota[IPM])) / (MAX(KabKota[IPM]) - MIN(KabKota[IPM])) * 100</f>
        <v>69.79674797</v>
      </c>
      <c r="J232" s="9">
        <f>(F232 - MIN(KabKota[IKF])) / (MAX(KabKota[IKF]) - MIN(KabKota[IKF])) * 100</f>
        <v>5</v>
      </c>
      <c r="K232" s="9">
        <f>(G232 - MIN(KabKota[TIK])) / (MAX(KabKota[TIK]) - MIN(KabKota[TIK])) * 100</f>
        <v>61.11111111</v>
      </c>
      <c r="L232" s="9">
        <f>(H232 - MIN(KabKota[IDI])) / (MAX(KabKota[IDI]) - MIN(KabKota[IDI])) * 100</f>
        <v>89.8487395</v>
      </c>
      <c r="M232" s="9">
        <f t="shared" si="1"/>
        <v>56.43914964</v>
      </c>
      <c r="N232" s="11">
        <f>_xlfn.RANK.EQ(M232,KabKota[Rata-rata Skor])</f>
        <v>231</v>
      </c>
      <c r="O232" s="6">
        <f>COUNTIFS(KabKota[Regional], B232, KabKota[Rata-rata Skor], "&gt;"&amp;M232) + 1</f>
        <v>67</v>
      </c>
    </row>
    <row r="233" ht="22.5" customHeight="1">
      <c r="A233" s="5">
        <v>284.0</v>
      </c>
      <c r="B233" s="5" t="s">
        <v>60</v>
      </c>
      <c r="C233" s="5" t="s">
        <v>45</v>
      </c>
      <c r="D233" s="5" t="s">
        <v>297</v>
      </c>
      <c r="E233" s="7">
        <v>72.07</v>
      </c>
      <c r="F233" s="8">
        <v>0.176</v>
      </c>
      <c r="G233" s="7">
        <f>VLOOKUP(C233,Provinsi[[#ALL],[Daerah]:[IDI]],4,0)</f>
        <v>5.88</v>
      </c>
      <c r="H233" s="9">
        <f>VLOOKUP(C233,Provinsi[[#ALL],[Daerah]:[IDI]],5,0)</f>
        <v>76.37</v>
      </c>
      <c r="I233" s="9">
        <f>(E233 - MIN(KabKota[IPM])) / (MAX(KabKota[IPM]) - MIN(KabKota[IPM])) * 100</f>
        <v>64.47154472</v>
      </c>
      <c r="J233" s="9">
        <f>(F233 - MIN(KabKota[IKF])) / (MAX(KabKota[IKF]) - MIN(KabKota[IKF])) * 100</f>
        <v>22</v>
      </c>
      <c r="K233" s="9">
        <f>(G233 - MIN(KabKota[TIK])) / (MAX(KabKota[TIK]) - MIN(KabKota[TIK])) * 100</f>
        <v>53.7037037</v>
      </c>
      <c r="L233" s="9">
        <f>(H233 - MIN(KabKota[IDI])) / (MAX(KabKota[IDI]) - MIN(KabKota[IDI])) * 100</f>
        <v>85.56862745</v>
      </c>
      <c r="M233" s="9">
        <f t="shared" si="1"/>
        <v>56.43596897</v>
      </c>
      <c r="N233" s="11">
        <f>_xlfn.RANK.EQ(M233,KabKota[Rata-rata Skor])</f>
        <v>232</v>
      </c>
      <c r="O233" s="6">
        <f>COUNTIFS(KabKota[Regional], B233, KabKota[Rata-rata Skor], "&gt;"&amp;M233) + 1</f>
        <v>15</v>
      </c>
    </row>
    <row r="234" ht="22.5" customHeight="1">
      <c r="A234" s="5">
        <v>116.0</v>
      </c>
      <c r="B234" s="5" t="s">
        <v>70</v>
      </c>
      <c r="C234" s="5" t="s">
        <v>39</v>
      </c>
      <c r="D234" s="5" t="s">
        <v>298</v>
      </c>
      <c r="E234" s="7">
        <v>75.32</v>
      </c>
      <c r="F234" s="8">
        <v>0.036</v>
      </c>
      <c r="G234" s="7">
        <f>VLOOKUP(C234,Provinsi[[#ALL],[Daerah]:[IDI]],4,0)</f>
        <v>6.19</v>
      </c>
      <c r="H234" s="9">
        <f>VLOOKUP(C234,Provinsi[[#ALL],[Daerah]:[IDI]],5,0)</f>
        <v>79.66</v>
      </c>
      <c r="I234" s="9">
        <f>(E234 - MIN(KabKota[IPM])) / (MAX(KabKota[IPM]) - MIN(KabKota[IPM])) * 100</f>
        <v>71.07723577</v>
      </c>
      <c r="J234" s="9">
        <f>(F234 - MIN(KabKota[IKF])) / (MAX(KabKota[IKF]) - MIN(KabKota[IKF])) * 100</f>
        <v>4.5</v>
      </c>
      <c r="K234" s="9">
        <f>(G234 - MIN(KabKota[TIK])) / (MAX(KabKota[TIK]) - MIN(KabKota[TIK])) * 100</f>
        <v>60.87962963</v>
      </c>
      <c r="L234" s="9">
        <f>(H234 - MIN(KabKota[IDI])) / (MAX(KabKota[IDI]) - MIN(KabKota[IDI])) * 100</f>
        <v>89.25490196</v>
      </c>
      <c r="M234" s="9">
        <f t="shared" si="1"/>
        <v>56.42794184</v>
      </c>
      <c r="N234" s="11">
        <f>_xlfn.RANK.EQ(M234,KabKota[Rata-rata Skor])</f>
        <v>233</v>
      </c>
      <c r="O234" s="6">
        <f>COUNTIFS(KabKota[Regional], B234, KabKota[Rata-rata Skor], "&gt;"&amp;M234) + 1</f>
        <v>68</v>
      </c>
    </row>
    <row r="235" ht="22.5" customHeight="1">
      <c r="A235" s="5">
        <v>319.0</v>
      </c>
      <c r="B235" s="5" t="s">
        <v>77</v>
      </c>
      <c r="C235" s="5" t="s">
        <v>35</v>
      </c>
      <c r="D235" s="5" t="s">
        <v>299</v>
      </c>
      <c r="E235" s="7">
        <v>70.92</v>
      </c>
      <c r="F235" s="8">
        <v>0.102</v>
      </c>
      <c r="G235" s="7">
        <f>VLOOKUP(C235,Provinsi[[#ALL],[Daerah]:[IDI]],4,0)</f>
        <v>5.9</v>
      </c>
      <c r="H235" s="9">
        <f>VLOOKUP(C235,Provinsi[[#ALL],[Daerah]:[IDI]],5,0)</f>
        <v>86.17</v>
      </c>
      <c r="I235" s="9">
        <f>(E235 - MIN(KabKota[IPM])) / (MAX(KabKota[IPM]) - MIN(KabKota[IPM])) * 100</f>
        <v>62.13414634</v>
      </c>
      <c r="J235" s="9">
        <f>(F235 - MIN(KabKota[IKF])) / (MAX(KabKota[IKF]) - MIN(KabKota[IKF])) * 100</f>
        <v>12.75</v>
      </c>
      <c r="K235" s="9">
        <f>(G235 - MIN(KabKota[TIK])) / (MAX(KabKota[TIK]) - MIN(KabKota[TIK])) * 100</f>
        <v>54.16666667</v>
      </c>
      <c r="L235" s="9">
        <f>(H235 - MIN(KabKota[IDI])) / (MAX(KabKota[IDI]) - MIN(KabKota[IDI])) * 100</f>
        <v>96.54901961</v>
      </c>
      <c r="M235" s="9">
        <f t="shared" si="1"/>
        <v>56.39995815</v>
      </c>
      <c r="N235" s="11">
        <f>_xlfn.RANK.EQ(M235,KabKota[Rata-rata Skor])</f>
        <v>234</v>
      </c>
      <c r="O235" s="6">
        <f>COUNTIFS(KabKota[Regional], B235, KabKota[Rata-rata Skor], "&gt;"&amp;M235) + 1</f>
        <v>35</v>
      </c>
    </row>
    <row r="236" ht="22.5" customHeight="1">
      <c r="A236" s="5">
        <v>168.0</v>
      </c>
      <c r="B236" s="5" t="s">
        <v>63</v>
      </c>
      <c r="C236" s="5" t="s">
        <v>19</v>
      </c>
      <c r="D236" s="5" t="s">
        <v>300</v>
      </c>
      <c r="E236" s="7">
        <v>72.31</v>
      </c>
      <c r="F236" s="8">
        <v>0.029</v>
      </c>
      <c r="G236" s="7">
        <f>VLOOKUP(C236,Provinsi[[#ALL],[Daerah]:[IDI]],4,0)</f>
        <v>6.33</v>
      </c>
      <c r="H236" s="9">
        <f>VLOOKUP(C236,Provinsi[[#ALL],[Daerah]:[IDI]],5,0)</f>
        <v>82.8</v>
      </c>
      <c r="I236" s="9">
        <f>(E236 - MIN(KabKota[IPM])) / (MAX(KabKota[IPM]) - MIN(KabKota[IPM])) * 100</f>
        <v>64.95934959</v>
      </c>
      <c r="J236" s="9">
        <f>(F236 - MIN(KabKota[IKF])) / (MAX(KabKota[IKF]) - MIN(KabKota[IKF])) * 100</f>
        <v>3.625</v>
      </c>
      <c r="K236" s="9">
        <f>(G236 - MIN(KabKota[TIK])) / (MAX(KabKota[TIK]) - MIN(KabKota[TIK])) * 100</f>
        <v>64.12037037</v>
      </c>
      <c r="L236" s="9">
        <f>(H236 - MIN(KabKota[IDI])) / (MAX(KabKota[IDI]) - MIN(KabKota[IDI])) * 100</f>
        <v>92.77310924</v>
      </c>
      <c r="M236" s="9">
        <f t="shared" si="1"/>
        <v>56.3694573</v>
      </c>
      <c r="N236" s="11">
        <f>_xlfn.RANK.EQ(M236,KabKota[Rata-rata Skor])</f>
        <v>235</v>
      </c>
      <c r="O236" s="6">
        <f>COUNTIFS(KabKota[Regional], B236, KabKota[Rata-rata Skor], "&gt;"&amp;M236) + 1</f>
        <v>84</v>
      </c>
    </row>
    <row r="237" ht="22.5" customHeight="1">
      <c r="A237" s="5">
        <v>375.0</v>
      </c>
      <c r="B237" s="5" t="s">
        <v>75</v>
      </c>
      <c r="C237" s="5" t="s">
        <v>37</v>
      </c>
      <c r="D237" s="5" t="s">
        <v>301</v>
      </c>
      <c r="E237" s="7">
        <v>76.47</v>
      </c>
      <c r="F237" s="8">
        <v>0.025</v>
      </c>
      <c r="G237" s="7">
        <f>VLOOKUP(C237,Provinsi[[#ALL],[Daerah]:[IDI]],4,0)</f>
        <v>6.03</v>
      </c>
      <c r="H237" s="9">
        <f>VLOOKUP(C237,Provinsi[[#ALL],[Daerah]:[IDI]],5,0)</f>
        <v>81.87</v>
      </c>
      <c r="I237" s="9">
        <f>(E237 - MIN(KabKota[IPM])) / (MAX(KabKota[IPM]) - MIN(KabKota[IPM])) * 100</f>
        <v>73.41463415</v>
      </c>
      <c r="J237" s="9">
        <f>(F237 - MIN(KabKota[IKF])) / (MAX(KabKota[IKF]) - MIN(KabKota[IKF])) * 100</f>
        <v>3.125</v>
      </c>
      <c r="K237" s="9">
        <f>(G237 - MIN(KabKota[TIK])) / (MAX(KabKota[TIK]) - MIN(KabKota[TIK])) * 100</f>
        <v>57.17592593</v>
      </c>
      <c r="L237" s="9">
        <f>(H237 - MIN(KabKota[IDI])) / (MAX(KabKota[IDI]) - MIN(KabKota[IDI])) * 100</f>
        <v>91.73109244</v>
      </c>
      <c r="M237" s="9">
        <f t="shared" si="1"/>
        <v>56.36166313</v>
      </c>
      <c r="N237" s="11">
        <f>_xlfn.RANK.EQ(M237,KabKota[Rata-rata Skor])</f>
        <v>236</v>
      </c>
      <c r="O237" s="6">
        <f>COUNTIFS(KabKota[Regional], B237, KabKota[Rata-rata Skor], "&gt;"&amp;M237) + 1</f>
        <v>30</v>
      </c>
    </row>
    <row r="238" ht="22.5" customHeight="1">
      <c r="A238" s="5">
        <v>211.0</v>
      </c>
      <c r="B238" s="5" t="s">
        <v>63</v>
      </c>
      <c r="C238" s="5" t="s">
        <v>30</v>
      </c>
      <c r="D238" s="5" t="s">
        <v>302</v>
      </c>
      <c r="E238" s="7">
        <v>75.07</v>
      </c>
      <c r="F238" s="8">
        <v>0.02</v>
      </c>
      <c r="G238" s="7">
        <f>VLOOKUP(C238,Provinsi[[#ALL],[Daerah]:[IDI]],4,0)</f>
        <v>5.98</v>
      </c>
      <c r="H238" s="9">
        <f>VLOOKUP(C238,Provinsi[[#ALL],[Daerah]:[IDI]],5,0)</f>
        <v>85.84</v>
      </c>
      <c r="I238" s="9">
        <f>(E238 - MIN(KabKota[IPM])) / (MAX(KabKota[IPM]) - MIN(KabKota[IPM])) * 100</f>
        <v>70.56910569</v>
      </c>
      <c r="J238" s="9">
        <f>(F238 - MIN(KabKota[IKF])) / (MAX(KabKota[IKF]) - MIN(KabKota[IKF])) * 100</f>
        <v>2.5</v>
      </c>
      <c r="K238" s="9">
        <f>(G238 - MIN(KabKota[TIK])) / (MAX(KabKota[TIK]) - MIN(KabKota[TIK])) * 100</f>
        <v>56.01851852</v>
      </c>
      <c r="L238" s="9">
        <f>(H238 - MIN(KabKota[IDI])) / (MAX(KabKota[IDI]) - MIN(KabKota[IDI])) * 100</f>
        <v>96.17927171</v>
      </c>
      <c r="M238" s="9">
        <f t="shared" si="1"/>
        <v>56.31672398</v>
      </c>
      <c r="N238" s="11">
        <f>_xlfn.RANK.EQ(M238,KabKota[Rata-rata Skor])</f>
        <v>237</v>
      </c>
      <c r="O238" s="6">
        <f>COUNTIFS(KabKota[Regional], B238, KabKota[Rata-rata Skor], "&gt;"&amp;M238) + 1</f>
        <v>85</v>
      </c>
    </row>
    <row r="239" ht="22.5" customHeight="1">
      <c r="A239" s="5">
        <v>83.0</v>
      </c>
      <c r="B239" s="5" t="s">
        <v>70</v>
      </c>
      <c r="C239" s="5" t="s">
        <v>33</v>
      </c>
      <c r="D239" s="5" t="s">
        <v>303</v>
      </c>
      <c r="E239" s="7">
        <v>77.19</v>
      </c>
      <c r="F239" s="8">
        <v>0.01</v>
      </c>
      <c r="G239" s="7">
        <f>VLOOKUP(C239,Provinsi[[#ALL],[Daerah]:[IDI]],4,0)</f>
        <v>6.27</v>
      </c>
      <c r="H239" s="9">
        <f>VLOOKUP(C239,Provinsi[[#ALL],[Daerah]:[IDI]],5,0)</f>
        <v>77.06</v>
      </c>
      <c r="I239" s="9">
        <f>(E239 - MIN(KabKota[IPM])) / (MAX(KabKota[IPM]) - MIN(KabKota[IPM])) * 100</f>
        <v>74.87804878</v>
      </c>
      <c r="J239" s="9">
        <f>(F239 - MIN(KabKota[IKF])) / (MAX(KabKota[IKF]) - MIN(KabKota[IKF])) * 100</f>
        <v>1.25</v>
      </c>
      <c r="K239" s="9">
        <f>(G239 - MIN(KabKota[TIK])) / (MAX(KabKota[TIK]) - MIN(KabKota[TIK])) * 100</f>
        <v>62.73148148</v>
      </c>
      <c r="L239" s="9">
        <f>(H239 - MIN(KabKota[IDI])) / (MAX(KabKota[IDI]) - MIN(KabKota[IDI])) * 100</f>
        <v>86.34173669</v>
      </c>
      <c r="M239" s="9">
        <f t="shared" si="1"/>
        <v>56.30031674</v>
      </c>
      <c r="N239" s="11">
        <f>_xlfn.RANK.EQ(M239,KabKota[Rata-rata Skor])</f>
        <v>238</v>
      </c>
      <c r="O239" s="6">
        <f>COUNTIFS(KabKota[Regional], B239, KabKota[Rata-rata Skor], "&gt;"&amp;M239) + 1</f>
        <v>69</v>
      </c>
    </row>
    <row r="240" ht="22.5" customHeight="1">
      <c r="A240" s="5">
        <v>192.0</v>
      </c>
      <c r="B240" s="5" t="s">
        <v>63</v>
      </c>
      <c r="C240" s="5" t="s">
        <v>30</v>
      </c>
      <c r="D240" s="5" t="s">
        <v>304</v>
      </c>
      <c r="E240" s="7">
        <v>73.17</v>
      </c>
      <c r="F240" s="8">
        <v>0.05</v>
      </c>
      <c r="G240" s="7">
        <f>VLOOKUP(C240,Provinsi[[#ALL],[Daerah]:[IDI]],4,0)</f>
        <v>5.98</v>
      </c>
      <c r="H240" s="9">
        <f>VLOOKUP(C240,Provinsi[[#ALL],[Daerah]:[IDI]],5,0)</f>
        <v>85.84</v>
      </c>
      <c r="I240" s="9">
        <f>(E240 - MIN(KabKota[IPM])) / (MAX(KabKota[IPM]) - MIN(KabKota[IPM])) * 100</f>
        <v>66.70731707</v>
      </c>
      <c r="J240" s="9">
        <f>(F240 - MIN(KabKota[IKF])) / (MAX(KabKota[IKF]) - MIN(KabKota[IKF])) * 100</f>
        <v>6.25</v>
      </c>
      <c r="K240" s="9">
        <f>(G240 - MIN(KabKota[TIK])) / (MAX(KabKota[TIK]) - MIN(KabKota[TIK])) * 100</f>
        <v>56.01851852</v>
      </c>
      <c r="L240" s="9">
        <f>(H240 - MIN(KabKota[IDI])) / (MAX(KabKota[IDI]) - MIN(KabKota[IDI])) * 100</f>
        <v>96.17927171</v>
      </c>
      <c r="M240" s="9">
        <f t="shared" si="1"/>
        <v>56.28877683</v>
      </c>
      <c r="N240" s="11">
        <f>_xlfn.RANK.EQ(M240,KabKota[Rata-rata Skor])</f>
        <v>239</v>
      </c>
      <c r="O240" s="6">
        <f>COUNTIFS(KabKota[Regional], B240, KabKota[Rata-rata Skor], "&gt;"&amp;M240) + 1</f>
        <v>86</v>
      </c>
    </row>
    <row r="241" ht="22.5" customHeight="1">
      <c r="A241" s="5">
        <v>172.0</v>
      </c>
      <c r="B241" s="5" t="s">
        <v>63</v>
      </c>
      <c r="C241" s="5" t="s">
        <v>19</v>
      </c>
      <c r="D241" s="5" t="s">
        <v>305</v>
      </c>
      <c r="E241" s="7">
        <v>71.58</v>
      </c>
      <c r="F241" s="8">
        <v>0.038</v>
      </c>
      <c r="G241" s="7">
        <f>VLOOKUP(C241,Provinsi[[#ALL],[Daerah]:[IDI]],4,0)</f>
        <v>6.33</v>
      </c>
      <c r="H241" s="9">
        <f>VLOOKUP(C241,Provinsi[[#ALL],[Daerah]:[IDI]],5,0)</f>
        <v>82.8</v>
      </c>
      <c r="I241" s="9">
        <f>(E241 - MIN(KabKota[IPM])) / (MAX(KabKota[IPM]) - MIN(KabKota[IPM])) * 100</f>
        <v>63.47560976</v>
      </c>
      <c r="J241" s="9">
        <f>(F241 - MIN(KabKota[IKF])) / (MAX(KabKota[IKF]) - MIN(KabKota[IKF])) * 100</f>
        <v>4.75</v>
      </c>
      <c r="K241" s="9">
        <f>(G241 - MIN(KabKota[TIK])) / (MAX(KabKota[TIK]) - MIN(KabKota[TIK])) * 100</f>
        <v>64.12037037</v>
      </c>
      <c r="L241" s="9">
        <f>(H241 - MIN(KabKota[IDI])) / (MAX(KabKota[IDI]) - MIN(KabKota[IDI])) * 100</f>
        <v>92.77310924</v>
      </c>
      <c r="M241" s="9">
        <f t="shared" si="1"/>
        <v>56.27977234</v>
      </c>
      <c r="N241" s="11">
        <f>_xlfn.RANK.EQ(M241,KabKota[Rata-rata Skor])</f>
        <v>240</v>
      </c>
      <c r="O241" s="6">
        <f>COUNTIFS(KabKota[Regional], B241, KabKota[Rata-rata Skor], "&gt;"&amp;M241) + 1</f>
        <v>87</v>
      </c>
    </row>
    <row r="242" ht="22.5" customHeight="1">
      <c r="A242" s="5">
        <v>17.0</v>
      </c>
      <c r="B242" s="5" t="s">
        <v>70</v>
      </c>
      <c r="C242" s="5" t="s">
        <v>36</v>
      </c>
      <c r="D242" s="5" t="s">
        <v>306</v>
      </c>
      <c r="E242" s="7">
        <v>77.48</v>
      </c>
      <c r="F242" s="8">
        <v>0.07</v>
      </c>
      <c r="G242" s="7">
        <f>VLOOKUP(C242,Provinsi[[#ALL],[Daerah]:[IDI]],4,0)</f>
        <v>5.97</v>
      </c>
      <c r="H242" s="9">
        <f>VLOOKUP(C242,Provinsi[[#ALL],[Daerah]:[IDI]],5,0)</f>
        <v>75.8</v>
      </c>
      <c r="I242" s="9">
        <f>(E242 - MIN(KabKota[IPM])) / (MAX(KabKota[IPM]) - MIN(KabKota[IPM])) * 100</f>
        <v>75.46747967</v>
      </c>
      <c r="J242" s="9">
        <f>(F242 - MIN(KabKota[IKF])) / (MAX(KabKota[IKF]) - MIN(KabKota[IKF])) * 100</f>
        <v>8.75</v>
      </c>
      <c r="K242" s="9">
        <f>(G242 - MIN(KabKota[TIK])) / (MAX(KabKota[TIK]) - MIN(KabKota[TIK])) * 100</f>
        <v>55.78703704</v>
      </c>
      <c r="L242" s="9">
        <f>(H242 - MIN(KabKota[IDI])) / (MAX(KabKota[IDI]) - MIN(KabKota[IDI])) * 100</f>
        <v>84.92997199</v>
      </c>
      <c r="M242" s="9">
        <f t="shared" si="1"/>
        <v>56.23362218</v>
      </c>
      <c r="N242" s="11">
        <f>_xlfn.RANK.EQ(M242,KabKota[Rata-rata Skor])</f>
        <v>241</v>
      </c>
      <c r="O242" s="6">
        <f>COUNTIFS(KabKota[Regional], B242, KabKota[Rata-rata Skor], "&gt;"&amp;M242) + 1</f>
        <v>70</v>
      </c>
    </row>
    <row r="243" ht="22.5" customHeight="1">
      <c r="A243" s="5">
        <v>411.0</v>
      </c>
      <c r="B243" s="5" t="s">
        <v>75</v>
      </c>
      <c r="C243" s="5" t="s">
        <v>32</v>
      </c>
      <c r="D243" s="5" t="s">
        <v>307</v>
      </c>
      <c r="E243" s="7">
        <v>74.72</v>
      </c>
      <c r="F243" s="8">
        <v>0.042</v>
      </c>
      <c r="G243" s="7">
        <f>VLOOKUP(C243,Provinsi[[#ALL],[Daerah]:[IDI]],4,0)</f>
        <v>6.21</v>
      </c>
      <c r="H243" s="9">
        <f>VLOOKUP(C243,Provinsi[[#ALL],[Daerah]:[IDI]],5,0)</f>
        <v>78.93</v>
      </c>
      <c r="I243" s="9">
        <f>(E243 - MIN(KabKota[IPM])) / (MAX(KabKota[IPM]) - MIN(KabKota[IPM])) * 100</f>
        <v>69.85772358</v>
      </c>
      <c r="J243" s="9">
        <f>(F243 - MIN(KabKota[IKF])) / (MAX(KabKota[IKF]) - MIN(KabKota[IKF])) * 100</f>
        <v>5.25</v>
      </c>
      <c r="K243" s="9">
        <f>(G243 - MIN(KabKota[TIK])) / (MAX(KabKota[TIK]) - MIN(KabKota[TIK])) * 100</f>
        <v>61.34259259</v>
      </c>
      <c r="L243" s="9">
        <f>(H243 - MIN(KabKota[IDI])) / (MAX(KabKota[IDI]) - MIN(KabKota[IDI])) * 100</f>
        <v>88.43697479</v>
      </c>
      <c r="M243" s="9">
        <f t="shared" si="1"/>
        <v>56.22182274</v>
      </c>
      <c r="N243" s="11">
        <f>_xlfn.RANK.EQ(M243,KabKota[Rata-rata Skor])</f>
        <v>242</v>
      </c>
      <c r="O243" s="6">
        <f>COUNTIFS(KabKota[Regional], B243, KabKota[Rata-rata Skor], "&gt;"&amp;M243) + 1</f>
        <v>31</v>
      </c>
    </row>
    <row r="244" ht="22.5" customHeight="1">
      <c r="A244" s="5">
        <v>78.0</v>
      </c>
      <c r="B244" s="5" t="s">
        <v>70</v>
      </c>
      <c r="C244" s="5" t="s">
        <v>33</v>
      </c>
      <c r="D244" s="5" t="s">
        <v>308</v>
      </c>
      <c r="E244" s="7">
        <v>77.02</v>
      </c>
      <c r="F244" s="8">
        <v>0.01</v>
      </c>
      <c r="G244" s="7">
        <f>VLOOKUP(C244,Provinsi[[#ALL],[Daerah]:[IDI]],4,0)</f>
        <v>6.27</v>
      </c>
      <c r="H244" s="9">
        <f>VLOOKUP(C244,Provinsi[[#ALL],[Daerah]:[IDI]],5,0)</f>
        <v>77.06</v>
      </c>
      <c r="I244" s="9">
        <f>(E244 - MIN(KabKota[IPM])) / (MAX(KabKota[IPM]) - MIN(KabKota[IPM])) * 100</f>
        <v>74.53252033</v>
      </c>
      <c r="J244" s="9">
        <f>(F244 - MIN(KabKota[IKF])) / (MAX(KabKota[IKF]) - MIN(KabKota[IKF])) * 100</f>
        <v>1.25</v>
      </c>
      <c r="K244" s="9">
        <f>(G244 - MIN(KabKota[TIK])) / (MAX(KabKota[TIK]) - MIN(KabKota[TIK])) * 100</f>
        <v>62.73148148</v>
      </c>
      <c r="L244" s="9">
        <f>(H244 - MIN(KabKota[IDI])) / (MAX(KabKota[IDI]) - MIN(KabKota[IDI])) * 100</f>
        <v>86.34173669</v>
      </c>
      <c r="M244" s="9">
        <f t="shared" si="1"/>
        <v>56.21393463</v>
      </c>
      <c r="N244" s="11">
        <f>_xlfn.RANK.EQ(M244,KabKota[Rata-rata Skor])</f>
        <v>243</v>
      </c>
      <c r="O244" s="6">
        <f>COUNTIFS(KabKota[Regional], B244, KabKota[Rata-rata Skor], "&gt;"&amp;M244) + 1</f>
        <v>71</v>
      </c>
    </row>
    <row r="245" ht="22.5" customHeight="1">
      <c r="A245" s="5">
        <v>169.0</v>
      </c>
      <c r="B245" s="5" t="s">
        <v>63</v>
      </c>
      <c r="C245" s="5" t="s">
        <v>19</v>
      </c>
      <c r="D245" s="5" t="s">
        <v>309</v>
      </c>
      <c r="E245" s="7">
        <v>73.27</v>
      </c>
      <c r="F245" s="8">
        <v>0.008</v>
      </c>
      <c r="G245" s="7">
        <f>VLOOKUP(C245,Provinsi[[#ALL],[Daerah]:[IDI]],4,0)</f>
        <v>6.33</v>
      </c>
      <c r="H245" s="9">
        <f>VLOOKUP(C245,Provinsi[[#ALL],[Daerah]:[IDI]],5,0)</f>
        <v>82.8</v>
      </c>
      <c r="I245" s="9">
        <f>(E245 - MIN(KabKota[IPM])) / (MAX(KabKota[IPM]) - MIN(KabKota[IPM])) * 100</f>
        <v>66.91056911</v>
      </c>
      <c r="J245" s="9">
        <f>(F245 - MIN(KabKota[IKF])) / (MAX(KabKota[IKF]) - MIN(KabKota[IKF])) * 100</f>
        <v>1</v>
      </c>
      <c r="K245" s="9">
        <f>(G245 - MIN(KabKota[TIK])) / (MAX(KabKota[TIK]) - MIN(KabKota[TIK])) * 100</f>
        <v>64.12037037</v>
      </c>
      <c r="L245" s="9">
        <f>(H245 - MIN(KabKota[IDI])) / (MAX(KabKota[IDI]) - MIN(KabKota[IDI])) * 100</f>
        <v>92.77310924</v>
      </c>
      <c r="M245" s="9">
        <f t="shared" si="1"/>
        <v>56.20101218</v>
      </c>
      <c r="N245" s="11">
        <f>_xlfn.RANK.EQ(M245,KabKota[Rata-rata Skor])</f>
        <v>244</v>
      </c>
      <c r="O245" s="6">
        <f>COUNTIFS(KabKota[Regional], B245, KabKota[Rata-rata Skor], "&gt;"&amp;M245) + 1</f>
        <v>88</v>
      </c>
    </row>
    <row r="246" ht="22.5" customHeight="1">
      <c r="A246" s="5">
        <v>141.0</v>
      </c>
      <c r="B246" s="5" t="s">
        <v>70</v>
      </c>
      <c r="C246" s="5" t="s">
        <v>44</v>
      </c>
      <c r="D246" s="5" t="s">
        <v>310</v>
      </c>
      <c r="E246" s="7">
        <v>75.38</v>
      </c>
      <c r="F246" s="8">
        <v>0.031</v>
      </c>
      <c r="G246" s="7">
        <f>VLOOKUP(C246,Provinsi[[#ALL],[Daerah]:[IDI]],4,0)</f>
        <v>6.06</v>
      </c>
      <c r="H246" s="9">
        <f>VLOOKUP(C246,Provinsi[[#ALL],[Daerah]:[IDI]],5,0)</f>
        <v>81.91</v>
      </c>
      <c r="I246" s="9">
        <f>(E246 - MIN(KabKota[IPM])) / (MAX(KabKota[IPM]) - MIN(KabKota[IPM])) * 100</f>
        <v>71.19918699</v>
      </c>
      <c r="J246" s="9">
        <f>(F246 - MIN(KabKota[IKF])) / (MAX(KabKota[IKF]) - MIN(KabKota[IKF])) * 100</f>
        <v>3.875</v>
      </c>
      <c r="K246" s="9">
        <f>(G246 - MIN(KabKota[TIK])) / (MAX(KabKota[TIK]) - MIN(KabKota[TIK])) * 100</f>
        <v>57.87037037</v>
      </c>
      <c r="L246" s="9">
        <f>(H246 - MIN(KabKota[IDI])) / (MAX(KabKota[IDI]) - MIN(KabKota[IDI])) * 100</f>
        <v>91.77591036</v>
      </c>
      <c r="M246" s="9">
        <f t="shared" si="1"/>
        <v>56.18011693</v>
      </c>
      <c r="N246" s="11">
        <f>_xlfn.RANK.EQ(M246,KabKota[Rata-rata Skor])</f>
        <v>245</v>
      </c>
      <c r="O246" s="6">
        <f>COUNTIFS(KabKota[Regional], B246, KabKota[Rata-rata Skor], "&gt;"&amp;M246) + 1</f>
        <v>72</v>
      </c>
    </row>
    <row r="247" ht="22.5" customHeight="1">
      <c r="A247" s="5">
        <v>121.0</v>
      </c>
      <c r="B247" s="5" t="s">
        <v>70</v>
      </c>
      <c r="C247" s="5" t="s">
        <v>39</v>
      </c>
      <c r="D247" s="5" t="s">
        <v>311</v>
      </c>
      <c r="E247" s="7">
        <v>74.45</v>
      </c>
      <c r="F247" s="8">
        <v>0.042</v>
      </c>
      <c r="G247" s="7">
        <f>VLOOKUP(C247,Provinsi[[#ALL],[Daerah]:[IDI]],4,0)</f>
        <v>6.19</v>
      </c>
      <c r="H247" s="9">
        <f>VLOOKUP(C247,Provinsi[[#ALL],[Daerah]:[IDI]],5,0)</f>
        <v>79.66</v>
      </c>
      <c r="I247" s="9">
        <f>(E247 - MIN(KabKota[IPM])) / (MAX(KabKota[IPM]) - MIN(KabKota[IPM])) * 100</f>
        <v>69.30894309</v>
      </c>
      <c r="J247" s="9">
        <f>(F247 - MIN(KabKota[IKF])) / (MAX(KabKota[IKF]) - MIN(KabKota[IKF])) * 100</f>
        <v>5.25</v>
      </c>
      <c r="K247" s="9">
        <f>(G247 - MIN(KabKota[TIK])) / (MAX(KabKota[TIK]) - MIN(KabKota[TIK])) * 100</f>
        <v>60.87962963</v>
      </c>
      <c r="L247" s="9">
        <f>(H247 - MIN(KabKota[IDI])) / (MAX(KabKota[IDI]) - MIN(KabKota[IDI])) * 100</f>
        <v>89.25490196</v>
      </c>
      <c r="M247" s="9">
        <f t="shared" si="1"/>
        <v>56.17336867</v>
      </c>
      <c r="N247" s="11">
        <f>_xlfn.RANK.EQ(M247,KabKota[Rata-rata Skor])</f>
        <v>246</v>
      </c>
      <c r="O247" s="6">
        <f>COUNTIFS(KabKota[Regional], B247, KabKota[Rata-rata Skor], "&gt;"&amp;M247) + 1</f>
        <v>73</v>
      </c>
    </row>
    <row r="248" ht="22.5" customHeight="1">
      <c r="A248" s="5">
        <v>146.0</v>
      </c>
      <c r="B248" s="5" t="s">
        <v>70</v>
      </c>
      <c r="C248" s="5" t="s">
        <v>44</v>
      </c>
      <c r="D248" s="5" t="s">
        <v>312</v>
      </c>
      <c r="E248" s="7">
        <v>73.99</v>
      </c>
      <c r="F248" s="8">
        <v>0.053</v>
      </c>
      <c r="G248" s="7">
        <f>VLOOKUP(C248,Provinsi[[#ALL],[Daerah]:[IDI]],4,0)</f>
        <v>6.06</v>
      </c>
      <c r="H248" s="9">
        <f>VLOOKUP(C248,Provinsi[[#ALL],[Daerah]:[IDI]],5,0)</f>
        <v>81.91</v>
      </c>
      <c r="I248" s="9">
        <f>(E248 - MIN(KabKota[IPM])) / (MAX(KabKota[IPM]) - MIN(KabKota[IPM])) * 100</f>
        <v>68.37398374</v>
      </c>
      <c r="J248" s="9">
        <f>(F248 - MIN(KabKota[IKF])) / (MAX(KabKota[IKF]) - MIN(KabKota[IKF])) * 100</f>
        <v>6.625</v>
      </c>
      <c r="K248" s="9">
        <f>(G248 - MIN(KabKota[TIK])) / (MAX(KabKota[TIK]) - MIN(KabKota[TIK])) * 100</f>
        <v>57.87037037</v>
      </c>
      <c r="L248" s="9">
        <f>(H248 - MIN(KabKota[IDI])) / (MAX(KabKota[IDI]) - MIN(KabKota[IDI])) * 100</f>
        <v>91.77591036</v>
      </c>
      <c r="M248" s="9">
        <f t="shared" si="1"/>
        <v>56.16131612</v>
      </c>
      <c r="N248" s="11">
        <f>_xlfn.RANK.EQ(M248,KabKota[Rata-rata Skor])</f>
        <v>247</v>
      </c>
      <c r="O248" s="6">
        <f>COUNTIFS(KabKota[Regional], B248, KabKota[Rata-rata Skor], "&gt;"&amp;M248) + 1</f>
        <v>74</v>
      </c>
    </row>
    <row r="249" ht="22.5" customHeight="1">
      <c r="A249" s="5">
        <v>401.0</v>
      </c>
      <c r="B249" s="5" t="s">
        <v>75</v>
      </c>
      <c r="C249" s="5" t="s">
        <v>32</v>
      </c>
      <c r="D249" s="5" t="s">
        <v>313</v>
      </c>
      <c r="E249" s="7">
        <v>73.12</v>
      </c>
      <c r="F249" s="8">
        <v>0.066</v>
      </c>
      <c r="G249" s="7">
        <f>VLOOKUP(C249,Provinsi[[#ALL],[Daerah]:[IDI]],4,0)</f>
        <v>6.21</v>
      </c>
      <c r="H249" s="9">
        <f>VLOOKUP(C249,Provinsi[[#ALL],[Daerah]:[IDI]],5,0)</f>
        <v>78.93</v>
      </c>
      <c r="I249" s="9">
        <f>(E249 - MIN(KabKota[IPM])) / (MAX(KabKota[IPM]) - MIN(KabKota[IPM])) * 100</f>
        <v>66.60569106</v>
      </c>
      <c r="J249" s="9">
        <f>(F249 - MIN(KabKota[IKF])) / (MAX(KabKota[IKF]) - MIN(KabKota[IKF])) * 100</f>
        <v>8.25</v>
      </c>
      <c r="K249" s="9">
        <f>(G249 - MIN(KabKota[TIK])) / (MAX(KabKota[TIK]) - MIN(KabKota[TIK])) * 100</f>
        <v>61.34259259</v>
      </c>
      <c r="L249" s="9">
        <f>(H249 - MIN(KabKota[IDI])) / (MAX(KabKota[IDI]) - MIN(KabKota[IDI])) * 100</f>
        <v>88.43697479</v>
      </c>
      <c r="M249" s="9">
        <f t="shared" si="1"/>
        <v>56.15881461</v>
      </c>
      <c r="N249" s="11">
        <f>_xlfn.RANK.EQ(M249,KabKota[Rata-rata Skor])</f>
        <v>248</v>
      </c>
      <c r="O249" s="6">
        <f>COUNTIFS(KabKota[Regional], B249, KabKota[Rata-rata Skor], "&gt;"&amp;M249) + 1</f>
        <v>32</v>
      </c>
    </row>
    <row r="250" ht="22.5" customHeight="1">
      <c r="A250" s="5">
        <v>92.0</v>
      </c>
      <c r="B250" s="5" t="s">
        <v>70</v>
      </c>
      <c r="C250" s="5" t="s">
        <v>38</v>
      </c>
      <c r="D250" s="5" t="s">
        <v>314</v>
      </c>
      <c r="E250" s="7">
        <v>73.87</v>
      </c>
      <c r="F250" s="8">
        <v>0.057</v>
      </c>
      <c r="G250" s="7">
        <f>VLOOKUP(C250,Provinsi[[#ALL],[Daerah]:[IDI]],4,0)</f>
        <v>6.03</v>
      </c>
      <c r="H250" s="9">
        <f>VLOOKUP(C250,Provinsi[[#ALL],[Daerah]:[IDI]],5,0)</f>
        <v>82.27</v>
      </c>
      <c r="I250" s="9">
        <f>(E250 - MIN(KabKota[IPM])) / (MAX(KabKota[IPM]) - MIN(KabKota[IPM])) * 100</f>
        <v>68.1300813</v>
      </c>
      <c r="J250" s="9">
        <f>(F250 - MIN(KabKota[IKF])) / (MAX(KabKota[IKF]) - MIN(KabKota[IKF])) * 100</f>
        <v>7.125</v>
      </c>
      <c r="K250" s="9">
        <f>(G250 - MIN(KabKota[TIK])) / (MAX(KabKota[TIK]) - MIN(KabKota[TIK])) * 100</f>
        <v>57.17592593</v>
      </c>
      <c r="L250" s="9">
        <f>(H250 - MIN(KabKota[IDI])) / (MAX(KabKota[IDI]) - MIN(KabKota[IDI])) * 100</f>
        <v>92.17927171</v>
      </c>
      <c r="M250" s="9">
        <f t="shared" si="1"/>
        <v>56.15256973</v>
      </c>
      <c r="N250" s="11">
        <f>_xlfn.RANK.EQ(M250,KabKota[Rata-rata Skor])</f>
        <v>249</v>
      </c>
      <c r="O250" s="6">
        <f>COUNTIFS(KabKota[Regional], B250, KabKota[Rata-rata Skor], "&gt;"&amp;M250) + 1</f>
        <v>75</v>
      </c>
    </row>
    <row r="251" ht="22.5" customHeight="1">
      <c r="A251" s="5">
        <v>330.0</v>
      </c>
      <c r="B251" s="5" t="s">
        <v>77</v>
      </c>
      <c r="C251" s="5" t="s">
        <v>40</v>
      </c>
      <c r="D251" s="5" t="s">
        <v>315</v>
      </c>
      <c r="E251" s="7">
        <v>74.96</v>
      </c>
      <c r="F251" s="8">
        <v>0.075</v>
      </c>
      <c r="G251" s="7">
        <f>VLOOKUP(C251,Provinsi[[#ALL],[Daerah]:[IDI]],4,0)</f>
        <v>6.02</v>
      </c>
      <c r="H251" s="9">
        <f>VLOOKUP(C251,Provinsi[[#ALL],[Daerah]:[IDI]],5,0)</f>
        <v>78.47</v>
      </c>
      <c r="I251" s="9">
        <f>(E251 - MIN(KabKota[IPM])) / (MAX(KabKota[IPM]) - MIN(KabKota[IPM])) * 100</f>
        <v>70.34552846</v>
      </c>
      <c r="J251" s="9">
        <f>(F251 - MIN(KabKota[IKF])) / (MAX(KabKota[IKF]) - MIN(KabKota[IKF])) * 100</f>
        <v>9.375</v>
      </c>
      <c r="K251" s="9">
        <f>(G251 - MIN(KabKota[TIK])) / (MAX(KabKota[TIK]) - MIN(KabKota[TIK])) * 100</f>
        <v>56.94444444</v>
      </c>
      <c r="L251" s="9">
        <f>(H251 - MIN(KabKota[IDI])) / (MAX(KabKota[IDI]) - MIN(KabKota[IDI])) * 100</f>
        <v>87.92156863</v>
      </c>
      <c r="M251" s="9">
        <f t="shared" si="1"/>
        <v>56.14663538</v>
      </c>
      <c r="N251" s="11">
        <f>_xlfn.RANK.EQ(M251,KabKota[Rata-rata Skor])</f>
        <v>250</v>
      </c>
      <c r="O251" s="6">
        <f>COUNTIFS(KabKota[Regional], B251, KabKota[Rata-rata Skor], "&gt;"&amp;M251) + 1</f>
        <v>36</v>
      </c>
    </row>
    <row r="252" ht="22.5" customHeight="1">
      <c r="A252" s="5">
        <v>67.0</v>
      </c>
      <c r="B252" s="5" t="s">
        <v>70</v>
      </c>
      <c r="C252" s="5" t="s">
        <v>34</v>
      </c>
      <c r="D252" s="5" t="s">
        <v>316</v>
      </c>
      <c r="E252" s="7">
        <v>74.01</v>
      </c>
      <c r="F252" s="8">
        <v>0.04</v>
      </c>
      <c r="G252" s="7">
        <f>VLOOKUP(C252,Provinsi[[#ALL],[Daerah]:[IDI]],4,0)</f>
        <v>6.27</v>
      </c>
      <c r="H252" s="9">
        <f>VLOOKUP(C252,Provinsi[[#ALL],[Daerah]:[IDI]],5,0)</f>
        <v>78.83</v>
      </c>
      <c r="I252" s="9">
        <f>(E252 - MIN(KabKota[IPM])) / (MAX(KabKota[IPM]) - MIN(KabKota[IPM])) * 100</f>
        <v>68.41463415</v>
      </c>
      <c r="J252" s="9">
        <f>(F252 - MIN(KabKota[IKF])) / (MAX(KabKota[IKF]) - MIN(KabKota[IKF])) * 100</f>
        <v>5</v>
      </c>
      <c r="K252" s="9">
        <f>(G252 - MIN(KabKota[TIK])) / (MAX(KabKota[TIK]) - MIN(KabKota[TIK])) * 100</f>
        <v>62.73148148</v>
      </c>
      <c r="L252" s="9">
        <f>(H252 - MIN(KabKota[IDI])) / (MAX(KabKota[IDI]) - MIN(KabKota[IDI])) * 100</f>
        <v>88.32492997</v>
      </c>
      <c r="M252" s="9">
        <f t="shared" si="1"/>
        <v>56.1177614</v>
      </c>
      <c r="N252" s="11">
        <f>_xlfn.RANK.EQ(M252,KabKota[Rata-rata Skor])</f>
        <v>251</v>
      </c>
      <c r="O252" s="6">
        <f>COUNTIFS(KabKota[Regional], B252, KabKota[Rata-rata Skor], "&gt;"&amp;M252) + 1</f>
        <v>76</v>
      </c>
    </row>
    <row r="253" ht="22.5" customHeight="1">
      <c r="A253" s="5">
        <v>373.0</v>
      </c>
      <c r="B253" s="5" t="s">
        <v>75</v>
      </c>
      <c r="C253" s="5" t="s">
        <v>37</v>
      </c>
      <c r="D253" s="5" t="s">
        <v>317</v>
      </c>
      <c r="E253" s="7">
        <v>75.18</v>
      </c>
      <c r="F253" s="8">
        <v>0.038</v>
      </c>
      <c r="G253" s="7">
        <f>VLOOKUP(C253,Provinsi[[#ALL],[Daerah]:[IDI]],4,0)</f>
        <v>6.03</v>
      </c>
      <c r="H253" s="9">
        <f>VLOOKUP(C253,Provinsi[[#ALL],[Daerah]:[IDI]],5,0)</f>
        <v>81.87</v>
      </c>
      <c r="I253" s="9">
        <f>(E253 - MIN(KabKota[IPM])) / (MAX(KabKota[IPM]) - MIN(KabKota[IPM])) * 100</f>
        <v>70.79268293</v>
      </c>
      <c r="J253" s="9">
        <f>(F253 - MIN(KabKota[IKF])) / (MAX(KabKota[IKF]) - MIN(KabKota[IKF])) * 100</f>
        <v>4.75</v>
      </c>
      <c r="K253" s="9">
        <f>(G253 - MIN(KabKota[TIK])) / (MAX(KabKota[TIK]) - MIN(KabKota[TIK])) * 100</f>
        <v>57.17592593</v>
      </c>
      <c r="L253" s="9">
        <f>(H253 - MIN(KabKota[IDI])) / (MAX(KabKota[IDI]) - MIN(KabKota[IDI])) * 100</f>
        <v>91.73109244</v>
      </c>
      <c r="M253" s="9">
        <f t="shared" si="1"/>
        <v>56.11242532</v>
      </c>
      <c r="N253" s="11">
        <f>_xlfn.RANK.EQ(M253,KabKota[Rata-rata Skor])</f>
        <v>252</v>
      </c>
      <c r="O253" s="6">
        <f>COUNTIFS(KabKota[Regional], B253, KabKota[Rata-rata Skor], "&gt;"&amp;M253) + 1</f>
        <v>33</v>
      </c>
    </row>
    <row r="254" ht="22.5" customHeight="1">
      <c r="A254" s="5">
        <v>189.0</v>
      </c>
      <c r="B254" s="5" t="s">
        <v>63</v>
      </c>
      <c r="C254" s="5" t="s">
        <v>30</v>
      </c>
      <c r="D254" s="5" t="s">
        <v>318</v>
      </c>
      <c r="E254" s="7">
        <v>75.44</v>
      </c>
      <c r="F254" s="8">
        <v>0.007</v>
      </c>
      <c r="G254" s="7">
        <f>VLOOKUP(C254,Provinsi[[#ALL],[Daerah]:[IDI]],4,0)</f>
        <v>5.98</v>
      </c>
      <c r="H254" s="9">
        <f>VLOOKUP(C254,Provinsi[[#ALL],[Daerah]:[IDI]],5,0)</f>
        <v>85.84</v>
      </c>
      <c r="I254" s="9">
        <f>(E254 - MIN(KabKota[IPM])) / (MAX(KabKota[IPM]) - MIN(KabKota[IPM])) * 100</f>
        <v>71.32113821</v>
      </c>
      <c r="J254" s="9">
        <f>(F254 - MIN(KabKota[IKF])) / (MAX(KabKota[IKF]) - MIN(KabKota[IKF])) * 100</f>
        <v>0.875</v>
      </c>
      <c r="K254" s="9">
        <f>(G254 - MIN(KabKota[TIK])) / (MAX(KabKota[TIK]) - MIN(KabKota[TIK])) * 100</f>
        <v>56.01851852</v>
      </c>
      <c r="L254" s="9">
        <f>(H254 - MIN(KabKota[IDI])) / (MAX(KabKota[IDI]) - MIN(KabKota[IDI])) * 100</f>
        <v>96.17927171</v>
      </c>
      <c r="M254" s="9">
        <f t="shared" si="1"/>
        <v>56.09848211</v>
      </c>
      <c r="N254" s="11">
        <f>_xlfn.RANK.EQ(M254,KabKota[Rata-rata Skor])</f>
        <v>253</v>
      </c>
      <c r="O254" s="6">
        <f>COUNTIFS(KabKota[Regional], B254, KabKota[Rata-rata Skor], "&gt;"&amp;M254) + 1</f>
        <v>89</v>
      </c>
    </row>
    <row r="255" ht="22.5" customHeight="1">
      <c r="A255" s="5">
        <v>66.0</v>
      </c>
      <c r="B255" s="5" t="s">
        <v>70</v>
      </c>
      <c r="C255" s="5" t="s">
        <v>34</v>
      </c>
      <c r="D255" s="5" t="s">
        <v>319</v>
      </c>
      <c r="E255" s="7">
        <v>75.7</v>
      </c>
      <c r="F255" s="8">
        <v>0.011</v>
      </c>
      <c r="G255" s="7">
        <f>VLOOKUP(C255,Provinsi[[#ALL],[Daerah]:[IDI]],4,0)</f>
        <v>6.27</v>
      </c>
      <c r="H255" s="9">
        <f>VLOOKUP(C255,Provinsi[[#ALL],[Daerah]:[IDI]],5,0)</f>
        <v>78.83</v>
      </c>
      <c r="I255" s="9">
        <f>(E255 - MIN(KabKota[IPM])) / (MAX(KabKota[IPM]) - MIN(KabKota[IPM])) * 100</f>
        <v>71.8495935</v>
      </c>
      <c r="J255" s="9">
        <f>(F255 - MIN(KabKota[IKF])) / (MAX(KabKota[IKF]) - MIN(KabKota[IKF])) * 100</f>
        <v>1.375</v>
      </c>
      <c r="K255" s="9">
        <f>(G255 - MIN(KabKota[TIK])) / (MAX(KabKota[TIK]) - MIN(KabKota[TIK])) * 100</f>
        <v>62.73148148</v>
      </c>
      <c r="L255" s="9">
        <f>(H255 - MIN(KabKota[IDI])) / (MAX(KabKota[IDI]) - MIN(KabKota[IDI])) * 100</f>
        <v>88.32492997</v>
      </c>
      <c r="M255" s="9">
        <f t="shared" si="1"/>
        <v>56.07025124</v>
      </c>
      <c r="N255" s="11">
        <f>_xlfn.RANK.EQ(M255,KabKota[Rata-rata Skor])</f>
        <v>254</v>
      </c>
      <c r="O255" s="6">
        <f>COUNTIFS(KabKota[Regional], B255, KabKota[Rata-rata Skor], "&gt;"&amp;M255) + 1</f>
        <v>77</v>
      </c>
    </row>
    <row r="256" ht="22.5" customHeight="1">
      <c r="A256" s="5">
        <v>202.0</v>
      </c>
      <c r="B256" s="5" t="s">
        <v>63</v>
      </c>
      <c r="C256" s="5" t="s">
        <v>30</v>
      </c>
      <c r="D256" s="5" t="s">
        <v>320</v>
      </c>
      <c r="E256" s="7">
        <v>72.94</v>
      </c>
      <c r="F256" s="8">
        <v>0.046</v>
      </c>
      <c r="G256" s="7">
        <f>VLOOKUP(C256,Provinsi[[#ALL],[Daerah]:[IDI]],4,0)</f>
        <v>5.98</v>
      </c>
      <c r="H256" s="9">
        <f>VLOOKUP(C256,Provinsi[[#ALL],[Daerah]:[IDI]],5,0)</f>
        <v>85.84</v>
      </c>
      <c r="I256" s="9">
        <f>(E256 - MIN(KabKota[IPM])) / (MAX(KabKota[IPM]) - MIN(KabKota[IPM])) * 100</f>
        <v>66.2398374</v>
      </c>
      <c r="J256" s="9">
        <f>(F256 - MIN(KabKota[IKF])) / (MAX(KabKota[IKF]) - MIN(KabKota[IKF])) * 100</f>
        <v>5.75</v>
      </c>
      <c r="K256" s="9">
        <f>(G256 - MIN(KabKota[TIK])) / (MAX(KabKota[TIK]) - MIN(KabKota[TIK])) * 100</f>
        <v>56.01851852</v>
      </c>
      <c r="L256" s="9">
        <f>(H256 - MIN(KabKota[IDI])) / (MAX(KabKota[IDI]) - MIN(KabKota[IDI])) * 100</f>
        <v>96.17927171</v>
      </c>
      <c r="M256" s="9">
        <f t="shared" si="1"/>
        <v>56.04690691</v>
      </c>
      <c r="N256" s="11">
        <f>_xlfn.RANK.EQ(M256,KabKota[Rata-rata Skor])</f>
        <v>255</v>
      </c>
      <c r="O256" s="6">
        <f>COUNTIFS(KabKota[Regional], B256, KabKota[Rata-rata Skor], "&gt;"&amp;M256) + 1</f>
        <v>90</v>
      </c>
    </row>
    <row r="257" ht="22.5" customHeight="1">
      <c r="A257" s="5">
        <v>118.0</v>
      </c>
      <c r="B257" s="5" t="s">
        <v>70</v>
      </c>
      <c r="C257" s="5" t="s">
        <v>39</v>
      </c>
      <c r="D257" s="5" t="s">
        <v>321</v>
      </c>
      <c r="E257" s="7">
        <v>73.56</v>
      </c>
      <c r="F257" s="8">
        <v>0.052</v>
      </c>
      <c r="G257" s="7">
        <f>VLOOKUP(C257,Provinsi[[#ALL],[Daerah]:[IDI]],4,0)</f>
        <v>6.19</v>
      </c>
      <c r="H257" s="9">
        <f>VLOOKUP(C257,Provinsi[[#ALL],[Daerah]:[IDI]],5,0)</f>
        <v>79.66</v>
      </c>
      <c r="I257" s="9">
        <f>(E257 - MIN(KabKota[IPM])) / (MAX(KabKota[IPM]) - MIN(KabKota[IPM])) * 100</f>
        <v>67.5</v>
      </c>
      <c r="J257" s="9">
        <f>(F257 - MIN(KabKota[IKF])) / (MAX(KabKota[IKF]) - MIN(KabKota[IKF])) * 100</f>
        <v>6.5</v>
      </c>
      <c r="K257" s="9">
        <f>(G257 - MIN(KabKota[TIK])) / (MAX(KabKota[TIK]) - MIN(KabKota[TIK])) * 100</f>
        <v>60.87962963</v>
      </c>
      <c r="L257" s="9">
        <f>(H257 - MIN(KabKota[IDI])) / (MAX(KabKota[IDI]) - MIN(KabKota[IDI])) * 100</f>
        <v>89.25490196</v>
      </c>
      <c r="M257" s="9">
        <f t="shared" si="1"/>
        <v>56.0336329</v>
      </c>
      <c r="N257" s="11">
        <f>_xlfn.RANK.EQ(M257,KabKota[Rata-rata Skor])</f>
        <v>256</v>
      </c>
      <c r="O257" s="6">
        <f>COUNTIFS(KabKota[Regional], B257, KabKota[Rata-rata Skor], "&gt;"&amp;M257) + 1</f>
        <v>78</v>
      </c>
    </row>
    <row r="258" ht="22.5" customHeight="1">
      <c r="A258" s="5">
        <v>95.0</v>
      </c>
      <c r="B258" s="5" t="s">
        <v>70</v>
      </c>
      <c r="C258" s="5" t="s">
        <v>38</v>
      </c>
      <c r="D258" s="5" t="s">
        <v>322</v>
      </c>
      <c r="E258" s="7">
        <v>75.15</v>
      </c>
      <c r="F258" s="8">
        <v>0.032</v>
      </c>
      <c r="G258" s="7">
        <f>VLOOKUP(C258,Provinsi[[#ALL],[Daerah]:[IDI]],4,0)</f>
        <v>6.03</v>
      </c>
      <c r="H258" s="9">
        <f>VLOOKUP(C258,Provinsi[[#ALL],[Daerah]:[IDI]],5,0)</f>
        <v>82.27</v>
      </c>
      <c r="I258" s="9">
        <f>(E258 - MIN(KabKota[IPM])) / (MAX(KabKota[IPM]) - MIN(KabKota[IPM])) * 100</f>
        <v>70.73170732</v>
      </c>
      <c r="J258" s="9">
        <f>(F258 - MIN(KabKota[IKF])) / (MAX(KabKota[IKF]) - MIN(KabKota[IKF])) * 100</f>
        <v>4</v>
      </c>
      <c r="K258" s="9">
        <f>(G258 - MIN(KabKota[TIK])) / (MAX(KabKota[TIK]) - MIN(KabKota[TIK])) * 100</f>
        <v>57.17592593</v>
      </c>
      <c r="L258" s="9">
        <f>(H258 - MIN(KabKota[IDI])) / (MAX(KabKota[IDI]) - MIN(KabKota[IDI])) * 100</f>
        <v>92.17927171</v>
      </c>
      <c r="M258" s="9">
        <f t="shared" si="1"/>
        <v>56.02172624</v>
      </c>
      <c r="N258" s="11">
        <f>_xlfn.RANK.EQ(M258,KabKota[Rata-rata Skor])</f>
        <v>257</v>
      </c>
      <c r="O258" s="6">
        <f>COUNTIFS(KabKota[Regional], B258, KabKota[Rata-rata Skor], "&gt;"&amp;M258) + 1</f>
        <v>79</v>
      </c>
    </row>
    <row r="259" ht="22.5" customHeight="1">
      <c r="A259" s="5">
        <v>108.0</v>
      </c>
      <c r="B259" s="5" t="s">
        <v>70</v>
      </c>
      <c r="C259" s="5" t="s">
        <v>29</v>
      </c>
      <c r="D259" s="5" t="s">
        <v>323</v>
      </c>
      <c r="E259" s="7">
        <v>73.21</v>
      </c>
      <c r="F259" s="8">
        <v>0.07</v>
      </c>
      <c r="G259" s="7">
        <f>VLOOKUP(C259,Provinsi[[#ALL],[Daerah]:[IDI]],4,0)</f>
        <v>5.97</v>
      </c>
      <c r="H259" s="9">
        <f>VLOOKUP(C259,Provinsi[[#ALL],[Daerah]:[IDI]],5,0)</f>
        <v>82.71</v>
      </c>
      <c r="I259" s="9">
        <f>(E259 - MIN(KabKota[IPM])) / (MAX(KabKota[IPM]) - MIN(KabKota[IPM])) * 100</f>
        <v>66.78861789</v>
      </c>
      <c r="J259" s="9">
        <f>(F259 - MIN(KabKota[IKF])) / (MAX(KabKota[IKF]) - MIN(KabKota[IKF])) * 100</f>
        <v>8.75</v>
      </c>
      <c r="K259" s="9">
        <f>(G259 - MIN(KabKota[TIK])) / (MAX(KabKota[TIK]) - MIN(KabKota[TIK])) * 100</f>
        <v>55.78703704</v>
      </c>
      <c r="L259" s="9">
        <f>(H259 - MIN(KabKota[IDI])) / (MAX(KabKota[IDI]) - MIN(KabKota[IDI])) * 100</f>
        <v>92.67226891</v>
      </c>
      <c r="M259" s="9">
        <f t="shared" si="1"/>
        <v>55.99948096</v>
      </c>
      <c r="N259" s="11">
        <f>_xlfn.RANK.EQ(M259,KabKota[Rata-rata Skor])</f>
        <v>258</v>
      </c>
      <c r="O259" s="6">
        <f>COUNTIFS(KabKota[Regional], B259, KabKota[Rata-rata Skor], "&gt;"&amp;M259) + 1</f>
        <v>80</v>
      </c>
    </row>
    <row r="260" ht="22.5" customHeight="1">
      <c r="A260" s="5">
        <v>33.0</v>
      </c>
      <c r="B260" s="5" t="s">
        <v>70</v>
      </c>
      <c r="C260" s="5" t="s">
        <v>21</v>
      </c>
      <c r="D260" s="5" t="s">
        <v>324</v>
      </c>
      <c r="E260" s="7">
        <v>75.79</v>
      </c>
      <c r="F260" s="8">
        <v>0.008</v>
      </c>
      <c r="G260" s="7">
        <f>VLOOKUP(C260,Provinsi[[#ALL],[Daerah]:[IDI]],4,0)</f>
        <v>6.2</v>
      </c>
      <c r="H260" s="9">
        <f>VLOOKUP(C260,Provinsi[[#ALL],[Daerah]:[IDI]],5,0)</f>
        <v>80.19</v>
      </c>
      <c r="I260" s="9">
        <f>(E260 - MIN(KabKota[IPM])) / (MAX(KabKota[IPM]) - MIN(KabKota[IPM])) * 100</f>
        <v>72.03252033</v>
      </c>
      <c r="J260" s="9">
        <f>(F260 - MIN(KabKota[IKF])) / (MAX(KabKota[IKF]) - MIN(KabKota[IKF])) * 100</f>
        <v>1</v>
      </c>
      <c r="K260" s="9">
        <f>(G260 - MIN(KabKota[TIK])) / (MAX(KabKota[TIK]) - MIN(KabKota[TIK])) * 100</f>
        <v>61.11111111</v>
      </c>
      <c r="L260" s="9">
        <f>(H260 - MIN(KabKota[IDI])) / (MAX(KabKota[IDI]) - MIN(KabKota[IDI])) * 100</f>
        <v>89.8487395</v>
      </c>
      <c r="M260" s="9">
        <f t="shared" si="1"/>
        <v>55.99809273</v>
      </c>
      <c r="N260" s="11">
        <f>_xlfn.RANK.EQ(M260,KabKota[Rata-rata Skor])</f>
        <v>259</v>
      </c>
      <c r="O260" s="6">
        <f>COUNTIFS(KabKota[Regional], B260, KabKota[Rata-rata Skor], "&gt;"&amp;M260) + 1</f>
        <v>81</v>
      </c>
    </row>
    <row r="261" ht="22.5" customHeight="1">
      <c r="A261" s="5">
        <v>6.0</v>
      </c>
      <c r="B261" s="5" t="s">
        <v>70</v>
      </c>
      <c r="C261" s="5" t="s">
        <v>36</v>
      </c>
      <c r="D261" s="5" t="s">
        <v>325</v>
      </c>
      <c r="E261" s="7">
        <v>77.46</v>
      </c>
      <c r="F261" s="8">
        <v>0.062</v>
      </c>
      <c r="G261" s="7">
        <f>VLOOKUP(C261,Provinsi[[#ALL],[Daerah]:[IDI]],4,0)</f>
        <v>5.97</v>
      </c>
      <c r="H261" s="9">
        <f>VLOOKUP(C261,Provinsi[[#ALL],[Daerah]:[IDI]],5,0)</f>
        <v>75.8</v>
      </c>
      <c r="I261" s="9">
        <f>(E261 - MIN(KabKota[IPM])) / (MAX(KabKota[IPM]) - MIN(KabKota[IPM])) * 100</f>
        <v>75.42682927</v>
      </c>
      <c r="J261" s="9">
        <f>(F261 - MIN(KabKota[IKF])) / (MAX(KabKota[IKF]) - MIN(KabKota[IKF])) * 100</f>
        <v>7.75</v>
      </c>
      <c r="K261" s="9">
        <f>(G261 - MIN(KabKota[TIK])) / (MAX(KabKota[TIK]) - MIN(KabKota[TIK])) * 100</f>
        <v>55.78703704</v>
      </c>
      <c r="L261" s="9">
        <f>(H261 - MIN(KabKota[IDI])) / (MAX(KabKota[IDI]) - MIN(KabKota[IDI])) * 100</f>
        <v>84.92997199</v>
      </c>
      <c r="M261" s="9">
        <f t="shared" si="1"/>
        <v>55.97345957</v>
      </c>
      <c r="N261" s="11">
        <f>_xlfn.RANK.EQ(M261,KabKota[Rata-rata Skor])</f>
        <v>260</v>
      </c>
      <c r="O261" s="6">
        <f>COUNTIFS(KabKota[Regional], B261, KabKota[Rata-rata Skor], "&gt;"&amp;M261) + 1</f>
        <v>82</v>
      </c>
    </row>
    <row r="262" ht="22.5" customHeight="1">
      <c r="A262" s="5">
        <v>18.0</v>
      </c>
      <c r="B262" s="5" t="s">
        <v>70</v>
      </c>
      <c r="C262" s="5" t="s">
        <v>36</v>
      </c>
      <c r="D262" s="5" t="s">
        <v>326</v>
      </c>
      <c r="E262" s="7">
        <v>77.04</v>
      </c>
      <c r="F262" s="8">
        <v>0.067</v>
      </c>
      <c r="G262" s="7">
        <f>VLOOKUP(C262,Provinsi[[#ALL],[Daerah]:[IDI]],4,0)</f>
        <v>5.97</v>
      </c>
      <c r="H262" s="9">
        <f>VLOOKUP(C262,Provinsi[[#ALL],[Daerah]:[IDI]],5,0)</f>
        <v>75.8</v>
      </c>
      <c r="I262" s="9">
        <f>(E262 - MIN(KabKota[IPM])) / (MAX(KabKota[IPM]) - MIN(KabKota[IPM])) * 100</f>
        <v>74.57317073</v>
      </c>
      <c r="J262" s="9">
        <f>(F262 - MIN(KabKota[IKF])) / (MAX(KabKota[IKF]) - MIN(KabKota[IKF])) * 100</f>
        <v>8.375</v>
      </c>
      <c r="K262" s="9">
        <f>(G262 - MIN(KabKota[TIK])) / (MAX(KabKota[TIK]) - MIN(KabKota[TIK])) * 100</f>
        <v>55.78703704</v>
      </c>
      <c r="L262" s="9">
        <f>(H262 - MIN(KabKota[IDI])) / (MAX(KabKota[IDI]) - MIN(KabKota[IDI])) * 100</f>
        <v>84.92997199</v>
      </c>
      <c r="M262" s="9">
        <f t="shared" si="1"/>
        <v>55.91629494</v>
      </c>
      <c r="N262" s="11">
        <f>_xlfn.RANK.EQ(M262,KabKota[Rata-rata Skor])</f>
        <v>261</v>
      </c>
      <c r="O262" s="6">
        <f>COUNTIFS(KabKota[Regional], B262, KabKota[Rata-rata Skor], "&gt;"&amp;M262) + 1</f>
        <v>83</v>
      </c>
    </row>
    <row r="263" ht="22.5" customHeight="1">
      <c r="A263" s="5">
        <v>240.0</v>
      </c>
      <c r="B263" s="5" t="s">
        <v>63</v>
      </c>
      <c r="C263" s="5" t="s">
        <v>23</v>
      </c>
      <c r="D263" s="5" t="s">
        <v>327</v>
      </c>
      <c r="E263" s="7">
        <v>71.65</v>
      </c>
      <c r="F263" s="8">
        <v>0.061</v>
      </c>
      <c r="G263" s="7">
        <f>VLOOKUP(C263,Provinsi[[#ALL],[Daerah]:[IDI]],4,0)</f>
        <v>6.07</v>
      </c>
      <c r="H263" s="9">
        <f>VLOOKUP(C263,Provinsi[[#ALL],[Daerah]:[IDI]],5,0)</f>
        <v>84.17</v>
      </c>
      <c r="I263" s="9">
        <f>(E263 - MIN(KabKota[IPM])) / (MAX(KabKota[IPM]) - MIN(KabKota[IPM])) * 100</f>
        <v>63.61788618</v>
      </c>
      <c r="J263" s="9">
        <f>(F263 - MIN(KabKota[IKF])) / (MAX(KabKota[IKF]) - MIN(KabKota[IKF])) * 100</f>
        <v>7.625</v>
      </c>
      <c r="K263" s="9">
        <f>(G263 - MIN(KabKota[TIK])) / (MAX(KabKota[TIK]) - MIN(KabKota[TIK])) * 100</f>
        <v>58.10185185</v>
      </c>
      <c r="L263" s="9">
        <f>(H263 - MIN(KabKota[IDI])) / (MAX(KabKota[IDI]) - MIN(KabKota[IDI])) * 100</f>
        <v>94.30812325</v>
      </c>
      <c r="M263" s="9">
        <f t="shared" si="1"/>
        <v>55.91321532</v>
      </c>
      <c r="N263" s="11">
        <f>_xlfn.RANK.EQ(M263,KabKota[Rata-rata Skor])</f>
        <v>262</v>
      </c>
      <c r="O263" s="6">
        <f>COUNTIFS(KabKota[Regional], B263, KabKota[Rata-rata Skor], "&gt;"&amp;M263) + 1</f>
        <v>91</v>
      </c>
    </row>
    <row r="264" ht="22.5" customHeight="1">
      <c r="A264" s="5">
        <v>332.0</v>
      </c>
      <c r="B264" s="5" t="s">
        <v>77</v>
      </c>
      <c r="C264" s="5" t="s">
        <v>40</v>
      </c>
      <c r="D264" s="5" t="s">
        <v>328</v>
      </c>
      <c r="E264" s="7">
        <v>75.21</v>
      </c>
      <c r="F264" s="8">
        <v>0.063</v>
      </c>
      <c r="G264" s="7">
        <f>VLOOKUP(C264,Provinsi[[#ALL],[Daerah]:[IDI]],4,0)</f>
        <v>6.02</v>
      </c>
      <c r="H264" s="9">
        <f>VLOOKUP(C264,Provinsi[[#ALL],[Daerah]:[IDI]],5,0)</f>
        <v>78.47</v>
      </c>
      <c r="I264" s="9">
        <f>(E264 - MIN(KabKota[IPM])) / (MAX(KabKota[IPM]) - MIN(KabKota[IPM])) * 100</f>
        <v>70.85365854</v>
      </c>
      <c r="J264" s="9">
        <f>(F264 - MIN(KabKota[IKF])) / (MAX(KabKota[IKF]) - MIN(KabKota[IKF])) * 100</f>
        <v>7.875</v>
      </c>
      <c r="K264" s="9">
        <f>(G264 - MIN(KabKota[TIK])) / (MAX(KabKota[TIK]) - MIN(KabKota[TIK])) * 100</f>
        <v>56.94444444</v>
      </c>
      <c r="L264" s="9">
        <f>(H264 - MIN(KabKota[IDI])) / (MAX(KabKota[IDI]) - MIN(KabKota[IDI])) * 100</f>
        <v>87.92156863</v>
      </c>
      <c r="M264" s="9">
        <f t="shared" si="1"/>
        <v>55.8986679</v>
      </c>
      <c r="N264" s="11">
        <f>_xlfn.RANK.EQ(M264,KabKota[Rata-rata Skor])</f>
        <v>263</v>
      </c>
      <c r="O264" s="6">
        <f>COUNTIFS(KabKota[Regional], B264, KabKota[Rata-rata Skor], "&gt;"&amp;M264) + 1</f>
        <v>37</v>
      </c>
    </row>
    <row r="265" ht="22.5" customHeight="1">
      <c r="A265" s="5">
        <v>61.0</v>
      </c>
      <c r="B265" s="5" t="s">
        <v>70</v>
      </c>
      <c r="C265" s="5" t="s">
        <v>34</v>
      </c>
      <c r="D265" s="5" t="s">
        <v>329</v>
      </c>
      <c r="E265" s="7">
        <v>75.71</v>
      </c>
      <c r="F265" s="8">
        <v>0.005</v>
      </c>
      <c r="G265" s="7">
        <f>VLOOKUP(C265,Provinsi[[#ALL],[Daerah]:[IDI]],4,0)</f>
        <v>6.27</v>
      </c>
      <c r="H265" s="9">
        <f>VLOOKUP(C265,Provinsi[[#ALL],[Daerah]:[IDI]],5,0)</f>
        <v>78.83</v>
      </c>
      <c r="I265" s="9">
        <f>(E265 - MIN(KabKota[IPM])) / (MAX(KabKota[IPM]) - MIN(KabKota[IPM])) * 100</f>
        <v>71.8699187</v>
      </c>
      <c r="J265" s="9">
        <f>(F265 - MIN(KabKota[IKF])) / (MAX(KabKota[IKF]) - MIN(KabKota[IKF])) * 100</f>
        <v>0.625</v>
      </c>
      <c r="K265" s="9">
        <f>(G265 - MIN(KabKota[TIK])) / (MAX(KabKota[TIK]) - MIN(KabKota[TIK])) * 100</f>
        <v>62.73148148</v>
      </c>
      <c r="L265" s="9">
        <f>(H265 - MIN(KabKota[IDI])) / (MAX(KabKota[IDI]) - MIN(KabKota[IDI])) * 100</f>
        <v>88.32492997</v>
      </c>
      <c r="M265" s="9">
        <f t="shared" si="1"/>
        <v>55.88783254</v>
      </c>
      <c r="N265" s="11">
        <f>_xlfn.RANK.EQ(M265,KabKota[Rata-rata Skor])</f>
        <v>264</v>
      </c>
      <c r="O265" s="6">
        <f>COUNTIFS(KabKota[Regional], B265, KabKota[Rata-rata Skor], "&gt;"&amp;M265) + 1</f>
        <v>84</v>
      </c>
    </row>
    <row r="266" ht="22.5" customHeight="1">
      <c r="A266" s="5">
        <v>111.0</v>
      </c>
      <c r="B266" s="5" t="s">
        <v>70</v>
      </c>
      <c r="C266" s="5" t="s">
        <v>29</v>
      </c>
      <c r="D266" s="5" t="s">
        <v>330</v>
      </c>
      <c r="E266" s="7">
        <v>71.39</v>
      </c>
      <c r="F266" s="8">
        <v>0.095</v>
      </c>
      <c r="G266" s="7">
        <f>VLOOKUP(C266,Provinsi[[#ALL],[Daerah]:[IDI]],4,0)</f>
        <v>5.97</v>
      </c>
      <c r="H266" s="9">
        <f>VLOOKUP(C266,Provinsi[[#ALL],[Daerah]:[IDI]],5,0)</f>
        <v>82.71</v>
      </c>
      <c r="I266" s="9">
        <f>(E266 - MIN(KabKota[IPM])) / (MAX(KabKota[IPM]) - MIN(KabKota[IPM])) * 100</f>
        <v>63.08943089</v>
      </c>
      <c r="J266" s="9">
        <f>(F266 - MIN(KabKota[IKF])) / (MAX(KabKota[IKF]) - MIN(KabKota[IKF])) * 100</f>
        <v>11.875</v>
      </c>
      <c r="K266" s="9">
        <f>(G266 - MIN(KabKota[TIK])) / (MAX(KabKota[TIK]) - MIN(KabKota[TIK])) * 100</f>
        <v>55.78703704</v>
      </c>
      <c r="L266" s="9">
        <f>(H266 - MIN(KabKota[IDI])) / (MAX(KabKota[IDI]) - MIN(KabKota[IDI])) * 100</f>
        <v>92.67226891</v>
      </c>
      <c r="M266" s="9">
        <f t="shared" si="1"/>
        <v>55.85593421</v>
      </c>
      <c r="N266" s="11">
        <f>_xlfn.RANK.EQ(M266,KabKota[Rata-rata Skor])</f>
        <v>265</v>
      </c>
      <c r="O266" s="6">
        <f>COUNTIFS(KabKota[Regional], B266, KabKota[Rata-rata Skor], "&gt;"&amp;M266) + 1</f>
        <v>85</v>
      </c>
    </row>
    <row r="267" ht="22.5" customHeight="1">
      <c r="A267" s="5">
        <v>11.0</v>
      </c>
      <c r="B267" s="5" t="s">
        <v>70</v>
      </c>
      <c r="C267" s="5" t="s">
        <v>36</v>
      </c>
      <c r="D267" s="5" t="s">
        <v>331</v>
      </c>
      <c r="E267" s="7">
        <v>76.29</v>
      </c>
      <c r="F267" s="8">
        <v>0.077</v>
      </c>
      <c r="G267" s="7">
        <f>VLOOKUP(C267,Provinsi[[#ALL],[Daerah]:[IDI]],4,0)</f>
        <v>5.97</v>
      </c>
      <c r="H267" s="9">
        <f>VLOOKUP(C267,Provinsi[[#ALL],[Daerah]:[IDI]],5,0)</f>
        <v>75.8</v>
      </c>
      <c r="I267" s="9">
        <f>(E267 - MIN(KabKota[IPM])) / (MAX(KabKota[IPM]) - MIN(KabKota[IPM])) * 100</f>
        <v>73.04878049</v>
      </c>
      <c r="J267" s="9">
        <f>(F267 - MIN(KabKota[IKF])) / (MAX(KabKota[IKF]) - MIN(KabKota[IKF])) * 100</f>
        <v>9.625</v>
      </c>
      <c r="K267" s="9">
        <f>(G267 - MIN(KabKota[TIK])) / (MAX(KabKota[TIK]) - MIN(KabKota[TIK])) * 100</f>
        <v>55.78703704</v>
      </c>
      <c r="L267" s="9">
        <f>(H267 - MIN(KabKota[IDI])) / (MAX(KabKota[IDI]) - MIN(KabKota[IDI])) * 100</f>
        <v>84.92997199</v>
      </c>
      <c r="M267" s="9">
        <f t="shared" si="1"/>
        <v>55.84769738</v>
      </c>
      <c r="N267" s="11">
        <f>_xlfn.RANK.EQ(M267,KabKota[Rata-rata Skor])</f>
        <v>266</v>
      </c>
      <c r="O267" s="6">
        <f>COUNTIFS(KabKota[Regional], B267, KabKota[Rata-rata Skor], "&gt;"&amp;M267) + 1</f>
        <v>86</v>
      </c>
    </row>
    <row r="268" ht="22.5" customHeight="1">
      <c r="A268" s="5">
        <v>415.0</v>
      </c>
      <c r="B268" s="5" t="s">
        <v>75</v>
      </c>
      <c r="C268" s="5" t="s">
        <v>32</v>
      </c>
      <c r="D268" s="5" t="s">
        <v>332</v>
      </c>
      <c r="E268" s="7">
        <v>74.66</v>
      </c>
      <c r="F268" s="8">
        <v>0.031</v>
      </c>
      <c r="G268" s="7">
        <f>VLOOKUP(C268,Provinsi[[#ALL],[Daerah]:[IDI]],4,0)</f>
        <v>6.21</v>
      </c>
      <c r="H268" s="9">
        <f>VLOOKUP(C268,Provinsi[[#ALL],[Daerah]:[IDI]],5,0)</f>
        <v>78.93</v>
      </c>
      <c r="I268" s="9">
        <f>(E268 - MIN(KabKota[IPM])) / (MAX(KabKota[IPM]) - MIN(KabKota[IPM])) * 100</f>
        <v>69.73577236</v>
      </c>
      <c r="J268" s="9">
        <f>(F268 - MIN(KabKota[IKF])) / (MAX(KabKota[IKF]) - MIN(KabKota[IKF])) * 100</f>
        <v>3.875</v>
      </c>
      <c r="K268" s="9">
        <f>(G268 - MIN(KabKota[TIK])) / (MAX(KabKota[TIK]) - MIN(KabKota[TIK])) * 100</f>
        <v>61.34259259</v>
      </c>
      <c r="L268" s="9">
        <f>(H268 - MIN(KabKota[IDI])) / (MAX(KabKota[IDI]) - MIN(KabKota[IDI])) * 100</f>
        <v>88.43697479</v>
      </c>
      <c r="M268" s="9">
        <f t="shared" si="1"/>
        <v>55.84758494</v>
      </c>
      <c r="N268" s="11">
        <f>_xlfn.RANK.EQ(M268,KabKota[Rata-rata Skor])</f>
        <v>267</v>
      </c>
      <c r="O268" s="6">
        <f>COUNTIFS(KabKota[Regional], B268, KabKota[Rata-rata Skor], "&gt;"&amp;M268) + 1</f>
        <v>34</v>
      </c>
    </row>
    <row r="269" ht="22.5" customHeight="1">
      <c r="A269" s="5">
        <v>188.0</v>
      </c>
      <c r="B269" s="5" t="s">
        <v>63</v>
      </c>
      <c r="C269" s="5" t="s">
        <v>30</v>
      </c>
      <c r="D269" s="5" t="s">
        <v>333</v>
      </c>
      <c r="E269" s="7">
        <v>73.45</v>
      </c>
      <c r="F269" s="8">
        <v>0.03</v>
      </c>
      <c r="G269" s="7">
        <f>VLOOKUP(C269,Provinsi[[#ALL],[Daerah]:[IDI]],4,0)</f>
        <v>5.98</v>
      </c>
      <c r="H269" s="9">
        <f>VLOOKUP(C269,Provinsi[[#ALL],[Daerah]:[IDI]],5,0)</f>
        <v>85.84</v>
      </c>
      <c r="I269" s="9">
        <f>(E269 - MIN(KabKota[IPM])) / (MAX(KabKota[IPM]) - MIN(KabKota[IPM])) * 100</f>
        <v>67.27642276</v>
      </c>
      <c r="J269" s="9">
        <f>(F269 - MIN(KabKota[IKF])) / (MAX(KabKota[IKF]) - MIN(KabKota[IKF])) * 100</f>
        <v>3.75</v>
      </c>
      <c r="K269" s="9">
        <f>(G269 - MIN(KabKota[TIK])) / (MAX(KabKota[TIK]) - MIN(KabKota[TIK])) * 100</f>
        <v>56.01851852</v>
      </c>
      <c r="L269" s="9">
        <f>(H269 - MIN(KabKota[IDI])) / (MAX(KabKota[IDI]) - MIN(KabKota[IDI])) * 100</f>
        <v>96.17927171</v>
      </c>
      <c r="M269" s="9">
        <f t="shared" si="1"/>
        <v>55.80605325</v>
      </c>
      <c r="N269" s="11">
        <f>_xlfn.RANK.EQ(M269,KabKota[Rata-rata Skor])</f>
        <v>268</v>
      </c>
      <c r="O269" s="6">
        <f>COUNTIFS(KabKota[Regional], B269, KabKota[Rata-rata Skor], "&gt;"&amp;M269) + 1</f>
        <v>92</v>
      </c>
    </row>
    <row r="270" ht="22.5" customHeight="1">
      <c r="A270" s="5">
        <v>77.0</v>
      </c>
      <c r="B270" s="5" t="s">
        <v>70</v>
      </c>
      <c r="C270" s="5" t="s">
        <v>33</v>
      </c>
      <c r="D270" s="5" t="s">
        <v>334</v>
      </c>
      <c r="E270" s="7">
        <v>73.48</v>
      </c>
      <c r="F270" s="8">
        <v>0.054</v>
      </c>
      <c r="G270" s="7">
        <f>VLOOKUP(C270,Provinsi[[#ALL],[Daerah]:[IDI]],4,0)</f>
        <v>6.27</v>
      </c>
      <c r="H270" s="9">
        <f>VLOOKUP(C270,Provinsi[[#ALL],[Daerah]:[IDI]],5,0)</f>
        <v>77.06</v>
      </c>
      <c r="I270" s="9">
        <f>(E270 - MIN(KabKota[IPM])) / (MAX(KabKota[IPM]) - MIN(KabKota[IPM])) * 100</f>
        <v>67.33739837</v>
      </c>
      <c r="J270" s="9">
        <f>(F270 - MIN(KabKota[IKF])) / (MAX(KabKota[IKF]) - MIN(KabKota[IKF])) * 100</f>
        <v>6.75</v>
      </c>
      <c r="K270" s="9">
        <f>(G270 - MIN(KabKota[TIK])) / (MAX(KabKota[TIK]) - MIN(KabKota[TIK])) * 100</f>
        <v>62.73148148</v>
      </c>
      <c r="L270" s="9">
        <f>(H270 - MIN(KabKota[IDI])) / (MAX(KabKota[IDI]) - MIN(KabKota[IDI])) * 100</f>
        <v>86.34173669</v>
      </c>
      <c r="M270" s="9">
        <f t="shared" si="1"/>
        <v>55.79015414</v>
      </c>
      <c r="N270" s="11">
        <f>_xlfn.RANK.EQ(M270,KabKota[Rata-rata Skor])</f>
        <v>269</v>
      </c>
      <c r="O270" s="6">
        <f>COUNTIFS(KabKota[Regional], B270, KabKota[Rata-rata Skor], "&gt;"&amp;M270) + 1</f>
        <v>87</v>
      </c>
    </row>
    <row r="271" ht="22.5" customHeight="1">
      <c r="A271" s="5">
        <v>165.0</v>
      </c>
      <c r="B271" s="5" t="s">
        <v>63</v>
      </c>
      <c r="C271" s="5" t="s">
        <v>19</v>
      </c>
      <c r="D271" s="5" t="s">
        <v>335</v>
      </c>
      <c r="E271" s="7">
        <v>70.67</v>
      </c>
      <c r="F271" s="8">
        <v>0.037</v>
      </c>
      <c r="G271" s="7">
        <f>VLOOKUP(C271,Provinsi[[#ALL],[Daerah]:[IDI]],4,0)</f>
        <v>6.33</v>
      </c>
      <c r="H271" s="9">
        <f>VLOOKUP(C271,Provinsi[[#ALL],[Daerah]:[IDI]],5,0)</f>
        <v>82.8</v>
      </c>
      <c r="I271" s="9">
        <f>(E271 - MIN(KabKota[IPM])) / (MAX(KabKota[IPM]) - MIN(KabKota[IPM])) * 100</f>
        <v>61.62601626</v>
      </c>
      <c r="J271" s="9">
        <f>(F271 - MIN(KabKota[IKF])) / (MAX(KabKota[IKF]) - MIN(KabKota[IKF])) * 100</f>
        <v>4.625</v>
      </c>
      <c r="K271" s="9">
        <f>(G271 - MIN(KabKota[TIK])) / (MAX(KabKota[TIK]) - MIN(KabKota[TIK])) * 100</f>
        <v>64.12037037</v>
      </c>
      <c r="L271" s="9">
        <f>(H271 - MIN(KabKota[IDI])) / (MAX(KabKota[IDI]) - MIN(KabKota[IDI])) * 100</f>
        <v>92.77310924</v>
      </c>
      <c r="M271" s="9">
        <f t="shared" si="1"/>
        <v>55.78612397</v>
      </c>
      <c r="N271" s="11">
        <f>_xlfn.RANK.EQ(M271,KabKota[Rata-rata Skor])</f>
        <v>270</v>
      </c>
      <c r="O271" s="6">
        <f>COUNTIFS(KabKota[Regional], B271, KabKota[Rata-rata Skor], "&gt;"&amp;M271) + 1</f>
        <v>93</v>
      </c>
    </row>
    <row r="272" ht="22.5" customHeight="1">
      <c r="A272" s="5">
        <v>170.0</v>
      </c>
      <c r="B272" s="5" t="s">
        <v>63</v>
      </c>
      <c r="C272" s="5" t="s">
        <v>19</v>
      </c>
      <c r="D272" s="5" t="s">
        <v>336</v>
      </c>
      <c r="E272" s="7">
        <v>72.37</v>
      </c>
      <c r="F272" s="8">
        <v>0.009</v>
      </c>
      <c r="G272" s="7">
        <f>VLOOKUP(C272,Provinsi[[#ALL],[Daerah]:[IDI]],4,0)</f>
        <v>6.33</v>
      </c>
      <c r="H272" s="9">
        <f>VLOOKUP(C272,Provinsi[[#ALL],[Daerah]:[IDI]],5,0)</f>
        <v>82.8</v>
      </c>
      <c r="I272" s="9">
        <f>(E272 - MIN(KabKota[IPM])) / (MAX(KabKota[IPM]) - MIN(KabKota[IPM])) * 100</f>
        <v>65.08130081</v>
      </c>
      <c r="J272" s="9">
        <f>(F272 - MIN(KabKota[IKF])) / (MAX(KabKota[IKF]) - MIN(KabKota[IKF])) * 100</f>
        <v>1.125</v>
      </c>
      <c r="K272" s="9">
        <f>(G272 - MIN(KabKota[TIK])) / (MAX(KabKota[TIK]) - MIN(KabKota[TIK])) * 100</f>
        <v>64.12037037</v>
      </c>
      <c r="L272" s="9">
        <f>(H272 - MIN(KabKota[IDI])) / (MAX(KabKota[IDI]) - MIN(KabKota[IDI])) * 100</f>
        <v>92.77310924</v>
      </c>
      <c r="M272" s="9">
        <f t="shared" si="1"/>
        <v>55.77494511</v>
      </c>
      <c r="N272" s="11">
        <f>_xlfn.RANK.EQ(M272,KabKota[Rata-rata Skor])</f>
        <v>271</v>
      </c>
      <c r="O272" s="6">
        <f>COUNTIFS(KabKota[Regional], B272, KabKota[Rata-rata Skor], "&gt;"&amp;M272) + 1</f>
        <v>94</v>
      </c>
    </row>
    <row r="273" ht="22.5" customHeight="1">
      <c r="A273" s="5">
        <v>239.0</v>
      </c>
      <c r="B273" s="5" t="s">
        <v>63</v>
      </c>
      <c r="C273" s="5" t="s">
        <v>23</v>
      </c>
      <c r="D273" s="5" t="s">
        <v>337</v>
      </c>
      <c r="E273" s="7">
        <v>71.87</v>
      </c>
      <c r="F273" s="8">
        <v>0.052</v>
      </c>
      <c r="G273" s="7">
        <f>VLOOKUP(C273,Provinsi[[#ALL],[Daerah]:[IDI]],4,0)</f>
        <v>6.07</v>
      </c>
      <c r="H273" s="9">
        <f>VLOOKUP(C273,Provinsi[[#ALL],[Daerah]:[IDI]],5,0)</f>
        <v>84.17</v>
      </c>
      <c r="I273" s="9">
        <f>(E273 - MIN(KabKota[IPM])) / (MAX(KabKota[IPM]) - MIN(KabKota[IPM])) * 100</f>
        <v>64.06504065</v>
      </c>
      <c r="J273" s="9">
        <f>(F273 - MIN(KabKota[IKF])) / (MAX(KabKota[IKF]) - MIN(KabKota[IKF])) * 100</f>
        <v>6.5</v>
      </c>
      <c r="K273" s="9">
        <f>(G273 - MIN(KabKota[TIK])) / (MAX(KabKota[TIK]) - MIN(KabKota[TIK])) * 100</f>
        <v>58.10185185</v>
      </c>
      <c r="L273" s="9">
        <f>(H273 - MIN(KabKota[IDI])) / (MAX(KabKota[IDI]) - MIN(KabKota[IDI])) * 100</f>
        <v>94.30812325</v>
      </c>
      <c r="M273" s="9">
        <f t="shared" si="1"/>
        <v>55.74375394</v>
      </c>
      <c r="N273" s="11">
        <f>_xlfn.RANK.EQ(M273,KabKota[Rata-rata Skor])</f>
        <v>272</v>
      </c>
      <c r="O273" s="6">
        <f>COUNTIFS(KabKota[Regional], B273, KabKota[Rata-rata Skor], "&gt;"&amp;M273) + 1</f>
        <v>95</v>
      </c>
    </row>
    <row r="274" ht="22.5" customHeight="1">
      <c r="A274" s="5">
        <v>90.0</v>
      </c>
      <c r="B274" s="5" t="s">
        <v>70</v>
      </c>
      <c r="C274" s="5" t="s">
        <v>38</v>
      </c>
      <c r="D274" s="5" t="s">
        <v>338</v>
      </c>
      <c r="E274" s="7">
        <v>74.72</v>
      </c>
      <c r="F274" s="8">
        <v>0.03</v>
      </c>
      <c r="G274" s="7">
        <f>VLOOKUP(C274,Provinsi[[#ALL],[Daerah]:[IDI]],4,0)</f>
        <v>6.03</v>
      </c>
      <c r="H274" s="9">
        <f>VLOOKUP(C274,Provinsi[[#ALL],[Daerah]:[IDI]],5,0)</f>
        <v>82.27</v>
      </c>
      <c r="I274" s="9">
        <f>(E274 - MIN(KabKota[IPM])) / (MAX(KabKota[IPM]) - MIN(KabKota[IPM])) * 100</f>
        <v>69.85772358</v>
      </c>
      <c r="J274" s="9">
        <f>(F274 - MIN(KabKota[IKF])) / (MAX(KabKota[IKF]) - MIN(KabKota[IKF])) * 100</f>
        <v>3.75</v>
      </c>
      <c r="K274" s="9">
        <f>(G274 - MIN(KabKota[TIK])) / (MAX(KabKota[TIK]) - MIN(KabKota[TIK])) * 100</f>
        <v>57.17592593</v>
      </c>
      <c r="L274" s="9">
        <f>(H274 - MIN(KabKota[IDI])) / (MAX(KabKota[IDI]) - MIN(KabKota[IDI])) * 100</f>
        <v>92.17927171</v>
      </c>
      <c r="M274" s="9">
        <f t="shared" si="1"/>
        <v>55.7407303</v>
      </c>
      <c r="N274" s="11">
        <f>_xlfn.RANK.EQ(M274,KabKota[Rata-rata Skor])</f>
        <v>273</v>
      </c>
      <c r="O274" s="6">
        <f>COUNTIFS(KabKota[Regional], B274, KabKota[Rata-rata Skor], "&gt;"&amp;M274) + 1</f>
        <v>88</v>
      </c>
    </row>
    <row r="275" ht="22.5" customHeight="1">
      <c r="A275" s="5">
        <v>39.0</v>
      </c>
      <c r="B275" s="5" t="s">
        <v>70</v>
      </c>
      <c r="C275" s="5" t="s">
        <v>21</v>
      </c>
      <c r="D275" s="5" t="s">
        <v>339</v>
      </c>
      <c r="E275" s="7">
        <v>73.93</v>
      </c>
      <c r="F275" s="8">
        <v>0.03</v>
      </c>
      <c r="G275" s="7">
        <f>VLOOKUP(C275,Provinsi[[#ALL],[Daerah]:[IDI]],4,0)</f>
        <v>6.2</v>
      </c>
      <c r="H275" s="9">
        <f>VLOOKUP(C275,Provinsi[[#ALL],[Daerah]:[IDI]],5,0)</f>
        <v>80.19</v>
      </c>
      <c r="I275" s="9">
        <f>(E275 - MIN(KabKota[IPM])) / (MAX(KabKota[IPM]) - MIN(KabKota[IPM])) * 100</f>
        <v>68.25203252</v>
      </c>
      <c r="J275" s="9">
        <f>(F275 - MIN(KabKota[IKF])) / (MAX(KabKota[IKF]) - MIN(KabKota[IKF])) * 100</f>
        <v>3.75</v>
      </c>
      <c r="K275" s="9">
        <f>(G275 - MIN(KabKota[TIK])) / (MAX(KabKota[TIK]) - MIN(KabKota[TIK])) * 100</f>
        <v>61.11111111</v>
      </c>
      <c r="L275" s="9">
        <f>(H275 - MIN(KabKota[IDI])) / (MAX(KabKota[IDI]) - MIN(KabKota[IDI])) * 100</f>
        <v>89.8487395</v>
      </c>
      <c r="M275" s="9">
        <f t="shared" si="1"/>
        <v>55.74047078</v>
      </c>
      <c r="N275" s="11">
        <f>_xlfn.RANK.EQ(M275,KabKota[Rata-rata Skor])</f>
        <v>274</v>
      </c>
      <c r="O275" s="6">
        <f>COUNTIFS(KabKota[Regional], B275, KabKota[Rata-rata Skor], "&gt;"&amp;M275) + 1</f>
        <v>89</v>
      </c>
    </row>
    <row r="276" ht="22.5" customHeight="1">
      <c r="A276" s="5">
        <v>347.0</v>
      </c>
      <c r="B276" s="5" t="s">
        <v>77</v>
      </c>
      <c r="C276" s="5" t="s">
        <v>41</v>
      </c>
      <c r="D276" s="5" t="s">
        <v>340</v>
      </c>
      <c r="E276" s="7">
        <v>74.98</v>
      </c>
      <c r="F276" s="8">
        <v>0.01</v>
      </c>
      <c r="G276" s="7">
        <f>VLOOKUP(C276,Provinsi[[#ALL],[Daerah]:[IDI]],4,0)</f>
        <v>6.13</v>
      </c>
      <c r="H276" s="9">
        <f>VLOOKUP(C276,Provinsi[[#ALL],[Daerah]:[IDI]],5,0)</f>
        <v>81.91</v>
      </c>
      <c r="I276" s="9">
        <f>(E276 - MIN(KabKota[IPM])) / (MAX(KabKota[IPM]) - MIN(KabKota[IPM])) * 100</f>
        <v>70.38617886</v>
      </c>
      <c r="J276" s="9">
        <f>(F276 - MIN(KabKota[IKF])) / (MAX(KabKota[IKF]) - MIN(KabKota[IKF])) * 100</f>
        <v>1.25</v>
      </c>
      <c r="K276" s="9">
        <f>(G276 - MIN(KabKota[TIK])) / (MAX(KabKota[TIK]) - MIN(KabKota[TIK])) * 100</f>
        <v>59.49074074</v>
      </c>
      <c r="L276" s="9">
        <f>(H276 - MIN(KabKota[IDI])) / (MAX(KabKota[IDI]) - MIN(KabKota[IDI])) * 100</f>
        <v>91.77591036</v>
      </c>
      <c r="M276" s="9">
        <f t="shared" si="1"/>
        <v>55.72570749</v>
      </c>
      <c r="N276" s="11">
        <f>_xlfn.RANK.EQ(M276,KabKota[Rata-rata Skor])</f>
        <v>275</v>
      </c>
      <c r="O276" s="6">
        <f>COUNTIFS(KabKota[Regional], B276, KabKota[Rata-rata Skor], "&gt;"&amp;M276) + 1</f>
        <v>38</v>
      </c>
    </row>
    <row r="277" ht="22.5" customHeight="1">
      <c r="A277" s="5">
        <v>80.0</v>
      </c>
      <c r="B277" s="5" t="s">
        <v>70</v>
      </c>
      <c r="C277" s="5" t="s">
        <v>33</v>
      </c>
      <c r="D277" s="5" t="s">
        <v>341</v>
      </c>
      <c r="E277" s="7">
        <v>75.8</v>
      </c>
      <c r="F277" s="8">
        <v>0.013</v>
      </c>
      <c r="G277" s="7">
        <f>VLOOKUP(C277,Provinsi[[#ALL],[Daerah]:[IDI]],4,0)</f>
        <v>6.27</v>
      </c>
      <c r="H277" s="9">
        <f>VLOOKUP(C277,Provinsi[[#ALL],[Daerah]:[IDI]],5,0)</f>
        <v>77.06</v>
      </c>
      <c r="I277" s="9">
        <f>(E277 - MIN(KabKota[IPM])) / (MAX(KabKota[IPM]) - MIN(KabKota[IPM])) * 100</f>
        <v>72.05284553</v>
      </c>
      <c r="J277" s="9">
        <f>(F277 - MIN(KabKota[IKF])) / (MAX(KabKota[IKF]) - MIN(KabKota[IKF])) * 100</f>
        <v>1.625</v>
      </c>
      <c r="K277" s="9">
        <f>(G277 - MIN(KabKota[TIK])) / (MAX(KabKota[TIK]) - MIN(KabKota[TIK])) * 100</f>
        <v>62.73148148</v>
      </c>
      <c r="L277" s="9">
        <f>(H277 - MIN(KabKota[IDI])) / (MAX(KabKota[IDI]) - MIN(KabKota[IDI])) * 100</f>
        <v>86.34173669</v>
      </c>
      <c r="M277" s="9">
        <f t="shared" si="1"/>
        <v>55.68776593</v>
      </c>
      <c r="N277" s="11">
        <f>_xlfn.RANK.EQ(M277,KabKota[Rata-rata Skor])</f>
        <v>276</v>
      </c>
      <c r="O277" s="6">
        <f>COUNTIFS(KabKota[Regional], B277, KabKota[Rata-rata Skor], "&gt;"&amp;M277) + 1</f>
        <v>90</v>
      </c>
    </row>
    <row r="278" ht="22.5" customHeight="1">
      <c r="A278" s="5">
        <v>7.0</v>
      </c>
      <c r="B278" s="5" t="s">
        <v>70</v>
      </c>
      <c r="C278" s="5" t="s">
        <v>36</v>
      </c>
      <c r="D278" s="5" t="s">
        <v>342</v>
      </c>
      <c r="E278" s="7">
        <v>74.46</v>
      </c>
      <c r="F278" s="8">
        <v>0.101</v>
      </c>
      <c r="G278" s="7">
        <f>VLOOKUP(C278,Provinsi[[#ALL],[Daerah]:[IDI]],4,0)</f>
        <v>5.97</v>
      </c>
      <c r="H278" s="9">
        <f>VLOOKUP(C278,Provinsi[[#ALL],[Daerah]:[IDI]],5,0)</f>
        <v>75.8</v>
      </c>
      <c r="I278" s="9">
        <f>(E278 - MIN(KabKota[IPM])) / (MAX(KabKota[IPM]) - MIN(KabKota[IPM])) * 100</f>
        <v>69.32926829</v>
      </c>
      <c r="J278" s="9">
        <f>(F278 - MIN(KabKota[IKF])) / (MAX(KabKota[IKF]) - MIN(KabKota[IKF])) * 100</f>
        <v>12.625</v>
      </c>
      <c r="K278" s="9">
        <f>(G278 - MIN(KabKota[TIK])) / (MAX(KabKota[TIK]) - MIN(KabKota[TIK])) * 100</f>
        <v>55.78703704</v>
      </c>
      <c r="L278" s="9">
        <f>(H278 - MIN(KabKota[IDI])) / (MAX(KabKota[IDI]) - MIN(KabKota[IDI])) * 100</f>
        <v>84.92997199</v>
      </c>
      <c r="M278" s="9">
        <f t="shared" si="1"/>
        <v>55.66781933</v>
      </c>
      <c r="N278" s="11">
        <f>_xlfn.RANK.EQ(M278,KabKota[Rata-rata Skor])</f>
        <v>277</v>
      </c>
      <c r="O278" s="6">
        <f>COUNTIFS(KabKota[Regional], B278, KabKota[Rata-rata Skor], "&gt;"&amp;M278) + 1</f>
        <v>91</v>
      </c>
    </row>
    <row r="279" ht="22.5" customHeight="1">
      <c r="A279" s="5">
        <v>91.0</v>
      </c>
      <c r="B279" s="5" t="s">
        <v>70</v>
      </c>
      <c r="C279" s="5" t="s">
        <v>38</v>
      </c>
      <c r="D279" s="5" t="s">
        <v>343</v>
      </c>
      <c r="E279" s="7">
        <v>73.94</v>
      </c>
      <c r="F279" s="8">
        <v>0.04</v>
      </c>
      <c r="G279" s="7">
        <f>VLOOKUP(C279,Provinsi[[#ALL],[Daerah]:[IDI]],4,0)</f>
        <v>6.03</v>
      </c>
      <c r="H279" s="9">
        <f>VLOOKUP(C279,Provinsi[[#ALL],[Daerah]:[IDI]],5,0)</f>
        <v>82.27</v>
      </c>
      <c r="I279" s="9">
        <f>(E279 - MIN(KabKota[IPM])) / (MAX(KabKota[IPM]) - MIN(KabKota[IPM])) * 100</f>
        <v>68.27235772</v>
      </c>
      <c r="J279" s="9">
        <f>(F279 - MIN(KabKota[IKF])) / (MAX(KabKota[IKF]) - MIN(KabKota[IKF])) * 100</f>
        <v>5</v>
      </c>
      <c r="K279" s="9">
        <f>(G279 - MIN(KabKota[TIK])) / (MAX(KabKota[TIK]) - MIN(KabKota[TIK])) * 100</f>
        <v>57.17592593</v>
      </c>
      <c r="L279" s="9">
        <f>(H279 - MIN(KabKota[IDI])) / (MAX(KabKota[IDI]) - MIN(KabKota[IDI])) * 100</f>
        <v>92.17927171</v>
      </c>
      <c r="M279" s="9">
        <f t="shared" si="1"/>
        <v>55.65688884</v>
      </c>
      <c r="N279" s="11">
        <f>_xlfn.RANK.EQ(M279,KabKota[Rata-rata Skor])</f>
        <v>278</v>
      </c>
      <c r="O279" s="6">
        <f>COUNTIFS(KabKota[Regional], B279, KabKota[Rata-rata Skor], "&gt;"&amp;M279) + 1</f>
        <v>92</v>
      </c>
    </row>
    <row r="280" ht="22.5" customHeight="1">
      <c r="A280" s="5">
        <v>424.0</v>
      </c>
      <c r="B280" s="5" t="s">
        <v>75</v>
      </c>
      <c r="C280" s="5" t="s">
        <v>46</v>
      </c>
      <c r="D280" s="5" t="s">
        <v>344</v>
      </c>
      <c r="E280" s="7">
        <v>75.09</v>
      </c>
      <c r="F280" s="8">
        <v>0.059</v>
      </c>
      <c r="G280" s="7">
        <f>VLOOKUP(C280,Provinsi[[#ALL],[Daerah]:[IDI]],4,0)</f>
        <v>6.03</v>
      </c>
      <c r="H280" s="9">
        <f>VLOOKUP(C280,Provinsi[[#ALL],[Daerah]:[IDI]],5,0)</f>
        <v>78.04</v>
      </c>
      <c r="I280" s="9">
        <f>(E280 - MIN(KabKota[IPM])) / (MAX(KabKota[IPM]) - MIN(KabKota[IPM])) * 100</f>
        <v>70.6097561</v>
      </c>
      <c r="J280" s="9">
        <f>(F280 - MIN(KabKota[IKF])) / (MAX(KabKota[IKF]) - MIN(KabKota[IKF])) * 100</f>
        <v>7.375</v>
      </c>
      <c r="K280" s="9">
        <f>(G280 - MIN(KabKota[TIK])) / (MAX(KabKota[TIK]) - MIN(KabKota[TIK])) * 100</f>
        <v>57.17592593</v>
      </c>
      <c r="L280" s="9">
        <f>(H280 - MIN(KabKota[IDI])) / (MAX(KabKota[IDI]) - MIN(KabKota[IDI])) * 100</f>
        <v>87.43977591</v>
      </c>
      <c r="M280" s="9">
        <f t="shared" si="1"/>
        <v>55.65011448</v>
      </c>
      <c r="N280" s="11">
        <f>_xlfn.RANK.EQ(M280,KabKota[Rata-rata Skor])</f>
        <v>279</v>
      </c>
      <c r="O280" s="6">
        <f>COUNTIFS(KabKota[Regional], B280, KabKota[Rata-rata Skor], "&gt;"&amp;M280) + 1</f>
        <v>35</v>
      </c>
    </row>
    <row r="281" ht="22.5" customHeight="1">
      <c r="A281" s="5">
        <v>43.0</v>
      </c>
      <c r="B281" s="5" t="s">
        <v>70</v>
      </c>
      <c r="C281" s="5" t="s">
        <v>21</v>
      </c>
      <c r="D281" s="5" t="s">
        <v>345</v>
      </c>
      <c r="E281" s="7">
        <v>75.12</v>
      </c>
      <c r="F281" s="8">
        <v>0.007</v>
      </c>
      <c r="G281" s="7">
        <f>VLOOKUP(C281,Provinsi[[#ALL],[Daerah]:[IDI]],4,0)</f>
        <v>6.2</v>
      </c>
      <c r="H281" s="9">
        <f>VLOOKUP(C281,Provinsi[[#ALL],[Daerah]:[IDI]],5,0)</f>
        <v>80.19</v>
      </c>
      <c r="I281" s="9">
        <f>(E281 - MIN(KabKota[IPM])) / (MAX(KabKota[IPM]) - MIN(KabKota[IPM])) * 100</f>
        <v>70.67073171</v>
      </c>
      <c r="J281" s="9">
        <f>(F281 - MIN(KabKota[IKF])) / (MAX(KabKota[IKF]) - MIN(KabKota[IKF])) * 100</f>
        <v>0.875</v>
      </c>
      <c r="K281" s="9">
        <f>(G281 - MIN(KabKota[TIK])) / (MAX(KabKota[TIK]) - MIN(KabKota[TIK])) * 100</f>
        <v>61.11111111</v>
      </c>
      <c r="L281" s="9">
        <f>(H281 - MIN(KabKota[IDI])) / (MAX(KabKota[IDI]) - MIN(KabKota[IDI])) * 100</f>
        <v>89.8487395</v>
      </c>
      <c r="M281" s="9">
        <f t="shared" si="1"/>
        <v>55.62639558</v>
      </c>
      <c r="N281" s="11">
        <f>_xlfn.RANK.EQ(M281,KabKota[Rata-rata Skor])</f>
        <v>280</v>
      </c>
      <c r="O281" s="6">
        <f>COUNTIFS(KabKota[Regional], B281, KabKota[Rata-rata Skor], "&gt;"&amp;M281) + 1</f>
        <v>93</v>
      </c>
    </row>
    <row r="282" ht="22.5" customHeight="1">
      <c r="A282" s="5">
        <v>104.0</v>
      </c>
      <c r="B282" s="5" t="s">
        <v>70</v>
      </c>
      <c r="C282" s="5" t="s">
        <v>29</v>
      </c>
      <c r="D282" s="5" t="s">
        <v>346</v>
      </c>
      <c r="E282" s="7">
        <v>73.17</v>
      </c>
      <c r="F282" s="8">
        <v>0.056</v>
      </c>
      <c r="G282" s="7">
        <f>VLOOKUP(C282,Provinsi[[#ALL],[Daerah]:[IDI]],4,0)</f>
        <v>5.97</v>
      </c>
      <c r="H282" s="9">
        <f>VLOOKUP(C282,Provinsi[[#ALL],[Daerah]:[IDI]],5,0)</f>
        <v>82.71</v>
      </c>
      <c r="I282" s="9">
        <f>(E282 - MIN(KabKota[IPM])) / (MAX(KabKota[IPM]) - MIN(KabKota[IPM])) * 100</f>
        <v>66.70731707</v>
      </c>
      <c r="J282" s="9">
        <f>(F282 - MIN(KabKota[IKF])) / (MAX(KabKota[IKF]) - MIN(KabKota[IKF])) * 100</f>
        <v>7</v>
      </c>
      <c r="K282" s="9">
        <f>(G282 - MIN(KabKota[TIK])) / (MAX(KabKota[TIK]) - MIN(KabKota[TIK])) * 100</f>
        <v>55.78703704</v>
      </c>
      <c r="L282" s="9">
        <f>(H282 - MIN(KabKota[IDI])) / (MAX(KabKota[IDI]) - MIN(KabKota[IDI])) * 100</f>
        <v>92.67226891</v>
      </c>
      <c r="M282" s="9">
        <f t="shared" si="1"/>
        <v>55.54165575</v>
      </c>
      <c r="N282" s="11">
        <f>_xlfn.RANK.EQ(M282,KabKota[Rata-rata Skor])</f>
        <v>281</v>
      </c>
      <c r="O282" s="6">
        <f>COUNTIFS(KabKota[Regional], B282, KabKota[Rata-rata Skor], "&gt;"&amp;M282) + 1</f>
        <v>94</v>
      </c>
    </row>
    <row r="283" ht="22.5" customHeight="1">
      <c r="A283" s="5">
        <v>248.0</v>
      </c>
      <c r="B283" s="5" t="s">
        <v>63</v>
      </c>
      <c r="C283" s="5" t="s">
        <v>23</v>
      </c>
      <c r="D283" s="5" t="s">
        <v>347</v>
      </c>
      <c r="E283" s="7">
        <v>74.43</v>
      </c>
      <c r="F283" s="8">
        <v>0.003</v>
      </c>
      <c r="G283" s="7">
        <f>VLOOKUP(C283,Provinsi[[#ALL],[Daerah]:[IDI]],4,0)</f>
        <v>6.07</v>
      </c>
      <c r="H283" s="9">
        <f>VLOOKUP(C283,Provinsi[[#ALL],[Daerah]:[IDI]],5,0)</f>
        <v>84.17</v>
      </c>
      <c r="I283" s="9">
        <f>(E283 - MIN(KabKota[IPM])) / (MAX(KabKota[IPM]) - MIN(KabKota[IPM])) * 100</f>
        <v>69.26829268</v>
      </c>
      <c r="J283" s="9">
        <f>(F283 - MIN(KabKota[IKF])) / (MAX(KabKota[IKF]) - MIN(KabKota[IKF])) * 100</f>
        <v>0.375</v>
      </c>
      <c r="K283" s="9">
        <f>(G283 - MIN(KabKota[TIK])) / (MAX(KabKota[TIK]) - MIN(KabKota[TIK])) * 100</f>
        <v>58.10185185</v>
      </c>
      <c r="L283" s="9">
        <f>(H283 - MIN(KabKota[IDI])) / (MAX(KabKota[IDI]) - MIN(KabKota[IDI])) * 100</f>
        <v>94.30812325</v>
      </c>
      <c r="M283" s="9">
        <f t="shared" si="1"/>
        <v>55.51331695</v>
      </c>
      <c r="N283" s="11">
        <f>_xlfn.RANK.EQ(M283,KabKota[Rata-rata Skor])</f>
        <v>282</v>
      </c>
      <c r="O283" s="6">
        <f>COUNTIFS(KabKota[Regional], B283, KabKota[Rata-rata Skor], "&gt;"&amp;M283) + 1</f>
        <v>96</v>
      </c>
    </row>
    <row r="284" ht="22.5" customHeight="1">
      <c r="A284" s="5">
        <v>44.0</v>
      </c>
      <c r="B284" s="5" t="s">
        <v>70</v>
      </c>
      <c r="C284" s="5" t="s">
        <v>21</v>
      </c>
      <c r="D284" s="5" t="s">
        <v>348</v>
      </c>
      <c r="E284" s="7">
        <v>73.9</v>
      </c>
      <c r="F284" s="8">
        <v>0.023</v>
      </c>
      <c r="G284" s="7">
        <f>VLOOKUP(C284,Provinsi[[#ALL],[Daerah]:[IDI]],4,0)</f>
        <v>6.2</v>
      </c>
      <c r="H284" s="9">
        <f>VLOOKUP(C284,Provinsi[[#ALL],[Daerah]:[IDI]],5,0)</f>
        <v>80.19</v>
      </c>
      <c r="I284" s="9">
        <f>(E284 - MIN(KabKota[IPM])) / (MAX(KabKota[IPM]) - MIN(KabKota[IPM])) * 100</f>
        <v>68.19105691</v>
      </c>
      <c r="J284" s="9">
        <f>(F284 - MIN(KabKota[IKF])) / (MAX(KabKota[IKF]) - MIN(KabKota[IKF])) * 100</f>
        <v>2.875</v>
      </c>
      <c r="K284" s="9">
        <f>(G284 - MIN(KabKota[TIK])) / (MAX(KabKota[TIK]) - MIN(KabKota[TIK])) * 100</f>
        <v>61.11111111</v>
      </c>
      <c r="L284" s="9">
        <f>(H284 - MIN(KabKota[IDI])) / (MAX(KabKota[IDI]) - MIN(KabKota[IDI])) * 100</f>
        <v>89.8487395</v>
      </c>
      <c r="M284" s="9">
        <f t="shared" si="1"/>
        <v>55.50647688</v>
      </c>
      <c r="N284" s="11">
        <f>_xlfn.RANK.EQ(M284,KabKota[Rata-rata Skor])</f>
        <v>283</v>
      </c>
      <c r="O284" s="6">
        <f>COUNTIFS(KabKota[Regional], B284, KabKota[Rata-rata Skor], "&gt;"&amp;M284) + 1</f>
        <v>95</v>
      </c>
    </row>
    <row r="285" ht="22.5" customHeight="1">
      <c r="A285" s="5">
        <v>99.0</v>
      </c>
      <c r="B285" s="5" t="s">
        <v>70</v>
      </c>
      <c r="C285" s="5" t="s">
        <v>29</v>
      </c>
      <c r="D285" s="5" t="s">
        <v>349</v>
      </c>
      <c r="E285" s="7">
        <v>74.47</v>
      </c>
      <c r="F285" s="8">
        <v>0.033</v>
      </c>
      <c r="G285" s="7">
        <f>VLOOKUP(C285,Provinsi[[#ALL],[Daerah]:[IDI]],4,0)</f>
        <v>5.97</v>
      </c>
      <c r="H285" s="9">
        <f>VLOOKUP(C285,Provinsi[[#ALL],[Daerah]:[IDI]],5,0)</f>
        <v>82.71</v>
      </c>
      <c r="I285" s="9">
        <f>(E285 - MIN(KabKota[IPM])) / (MAX(KabKota[IPM]) - MIN(KabKota[IPM])) * 100</f>
        <v>69.3495935</v>
      </c>
      <c r="J285" s="9">
        <f>(F285 - MIN(KabKota[IKF])) / (MAX(KabKota[IKF]) - MIN(KabKota[IKF])) * 100</f>
        <v>4.125</v>
      </c>
      <c r="K285" s="9">
        <f>(G285 - MIN(KabKota[TIK])) / (MAX(KabKota[TIK]) - MIN(KabKota[TIK])) * 100</f>
        <v>55.78703704</v>
      </c>
      <c r="L285" s="9">
        <f>(H285 - MIN(KabKota[IDI])) / (MAX(KabKota[IDI]) - MIN(KabKota[IDI])) * 100</f>
        <v>92.67226891</v>
      </c>
      <c r="M285" s="9">
        <f t="shared" si="1"/>
        <v>55.48347486</v>
      </c>
      <c r="N285" s="11">
        <f>_xlfn.RANK.EQ(M285,KabKota[Rata-rata Skor])</f>
        <v>284</v>
      </c>
      <c r="O285" s="6">
        <f>COUNTIFS(KabKota[Regional], B285, KabKota[Rata-rata Skor], "&gt;"&amp;M285) + 1</f>
        <v>96</v>
      </c>
    </row>
    <row r="286" ht="22.5" customHeight="1">
      <c r="A286" s="5">
        <v>178.0</v>
      </c>
      <c r="B286" s="5" t="s">
        <v>63</v>
      </c>
      <c r="C286" s="5" t="s">
        <v>19</v>
      </c>
      <c r="D286" s="5" t="s">
        <v>350</v>
      </c>
      <c r="E286" s="7">
        <v>71.66</v>
      </c>
      <c r="F286" s="8">
        <v>0.011</v>
      </c>
      <c r="G286" s="7">
        <f>VLOOKUP(C286,Provinsi[[#ALL],[Daerah]:[IDI]],4,0)</f>
        <v>6.33</v>
      </c>
      <c r="H286" s="9">
        <f>VLOOKUP(C286,Provinsi[[#ALL],[Daerah]:[IDI]],5,0)</f>
        <v>82.8</v>
      </c>
      <c r="I286" s="9">
        <f>(E286 - MIN(KabKota[IPM])) / (MAX(KabKota[IPM]) - MIN(KabKota[IPM])) * 100</f>
        <v>63.63821138</v>
      </c>
      <c r="J286" s="9">
        <f>(F286 - MIN(KabKota[IKF])) / (MAX(KabKota[IKF]) - MIN(KabKota[IKF])) * 100</f>
        <v>1.375</v>
      </c>
      <c r="K286" s="9">
        <f>(G286 - MIN(KabKota[TIK])) / (MAX(KabKota[TIK]) - MIN(KabKota[TIK])) * 100</f>
        <v>64.12037037</v>
      </c>
      <c r="L286" s="9">
        <f>(H286 - MIN(KabKota[IDI])) / (MAX(KabKota[IDI]) - MIN(KabKota[IDI])) * 100</f>
        <v>92.77310924</v>
      </c>
      <c r="M286" s="9">
        <f t="shared" si="1"/>
        <v>55.47667275</v>
      </c>
      <c r="N286" s="11">
        <f>_xlfn.RANK.EQ(M286,KabKota[Rata-rata Skor])</f>
        <v>285</v>
      </c>
      <c r="O286" s="6">
        <f>COUNTIFS(KabKota[Regional], B286, KabKota[Rata-rata Skor], "&gt;"&amp;M286) + 1</f>
        <v>97</v>
      </c>
    </row>
    <row r="287" ht="22.5" customHeight="1">
      <c r="A287" s="5">
        <v>210.0</v>
      </c>
      <c r="B287" s="5" t="s">
        <v>63</v>
      </c>
      <c r="C287" s="5" t="s">
        <v>30</v>
      </c>
      <c r="D287" s="5" t="s">
        <v>351</v>
      </c>
      <c r="E287" s="7">
        <v>72.52</v>
      </c>
      <c r="F287" s="8">
        <v>0.033</v>
      </c>
      <c r="G287" s="7">
        <f>VLOOKUP(C287,Provinsi[[#ALL],[Daerah]:[IDI]],4,0)</f>
        <v>5.98</v>
      </c>
      <c r="H287" s="9">
        <f>VLOOKUP(C287,Provinsi[[#ALL],[Daerah]:[IDI]],5,0)</f>
        <v>85.84</v>
      </c>
      <c r="I287" s="9">
        <f>(E287 - MIN(KabKota[IPM])) / (MAX(KabKota[IPM]) - MIN(KabKota[IPM])) * 100</f>
        <v>65.38617886</v>
      </c>
      <c r="J287" s="9">
        <f>(F287 - MIN(KabKota[IKF])) / (MAX(KabKota[IKF]) - MIN(KabKota[IKF])) * 100</f>
        <v>4.125</v>
      </c>
      <c r="K287" s="9">
        <f>(G287 - MIN(KabKota[TIK])) / (MAX(KabKota[TIK]) - MIN(KabKota[TIK])) * 100</f>
        <v>56.01851852</v>
      </c>
      <c r="L287" s="9">
        <f>(H287 - MIN(KabKota[IDI])) / (MAX(KabKota[IDI]) - MIN(KabKota[IDI])) * 100</f>
        <v>96.17927171</v>
      </c>
      <c r="M287" s="9">
        <f t="shared" si="1"/>
        <v>55.42724227</v>
      </c>
      <c r="N287" s="11">
        <f>_xlfn.RANK.EQ(M287,KabKota[Rata-rata Skor])</f>
        <v>286</v>
      </c>
      <c r="O287" s="6">
        <f>COUNTIFS(KabKota[Regional], B287, KabKota[Rata-rata Skor], "&gt;"&amp;M287) + 1</f>
        <v>98</v>
      </c>
    </row>
    <row r="288" ht="22.5" customHeight="1">
      <c r="A288" s="5">
        <v>417.0</v>
      </c>
      <c r="B288" s="5" t="s">
        <v>75</v>
      </c>
      <c r="C288" s="5" t="s">
        <v>32</v>
      </c>
      <c r="D288" s="5" t="s">
        <v>352</v>
      </c>
      <c r="E288" s="7">
        <v>74.81</v>
      </c>
      <c r="F288" s="8">
        <v>0.014</v>
      </c>
      <c r="G288" s="7">
        <f>VLOOKUP(C288,Provinsi[[#ALL],[Daerah]:[IDI]],4,0)</f>
        <v>6.21</v>
      </c>
      <c r="H288" s="9">
        <f>VLOOKUP(C288,Provinsi[[#ALL],[Daerah]:[IDI]],5,0)</f>
        <v>78.93</v>
      </c>
      <c r="I288" s="9">
        <f>(E288 - MIN(KabKota[IPM])) / (MAX(KabKota[IPM]) - MIN(KabKota[IPM])) * 100</f>
        <v>70.04065041</v>
      </c>
      <c r="J288" s="9">
        <f>(F288 - MIN(KabKota[IKF])) / (MAX(KabKota[IKF]) - MIN(KabKota[IKF])) * 100</f>
        <v>1.75</v>
      </c>
      <c r="K288" s="9">
        <f>(G288 - MIN(KabKota[TIK])) / (MAX(KabKota[TIK]) - MIN(KabKota[TIK])) * 100</f>
        <v>61.34259259</v>
      </c>
      <c r="L288" s="9">
        <f>(H288 - MIN(KabKota[IDI])) / (MAX(KabKota[IDI]) - MIN(KabKota[IDI])) * 100</f>
        <v>88.43697479</v>
      </c>
      <c r="M288" s="9">
        <f t="shared" si="1"/>
        <v>55.39255445</v>
      </c>
      <c r="N288" s="11">
        <f>_xlfn.RANK.EQ(M288,KabKota[Rata-rata Skor])</f>
        <v>287</v>
      </c>
      <c r="O288" s="6">
        <f>COUNTIFS(KabKota[Regional], B288, KabKota[Rata-rata Skor], "&gt;"&amp;M288) + 1</f>
        <v>36</v>
      </c>
    </row>
    <row r="289" ht="22.5" customHeight="1">
      <c r="A289" s="5">
        <v>89.0</v>
      </c>
      <c r="B289" s="5" t="s">
        <v>70</v>
      </c>
      <c r="C289" s="5" t="s">
        <v>38</v>
      </c>
      <c r="D289" s="5" t="s">
        <v>353</v>
      </c>
      <c r="E289" s="7">
        <v>73.41</v>
      </c>
      <c r="F289" s="8">
        <v>0.04</v>
      </c>
      <c r="G289" s="7">
        <f>VLOOKUP(C289,Provinsi[[#ALL],[Daerah]:[IDI]],4,0)</f>
        <v>6.03</v>
      </c>
      <c r="H289" s="9">
        <f>VLOOKUP(C289,Provinsi[[#ALL],[Daerah]:[IDI]],5,0)</f>
        <v>82.27</v>
      </c>
      <c r="I289" s="9">
        <f>(E289 - MIN(KabKota[IPM])) / (MAX(KabKota[IPM]) - MIN(KabKota[IPM])) * 100</f>
        <v>67.19512195</v>
      </c>
      <c r="J289" s="9">
        <f>(F289 - MIN(KabKota[IKF])) / (MAX(KabKota[IKF]) - MIN(KabKota[IKF])) * 100</f>
        <v>5</v>
      </c>
      <c r="K289" s="9">
        <f>(G289 - MIN(KabKota[TIK])) / (MAX(KabKota[TIK]) - MIN(KabKota[TIK])) * 100</f>
        <v>57.17592593</v>
      </c>
      <c r="L289" s="9">
        <f>(H289 - MIN(KabKota[IDI])) / (MAX(KabKota[IDI]) - MIN(KabKota[IDI])) * 100</f>
        <v>92.17927171</v>
      </c>
      <c r="M289" s="9">
        <f t="shared" si="1"/>
        <v>55.3875799</v>
      </c>
      <c r="N289" s="11">
        <f>_xlfn.RANK.EQ(M289,KabKota[Rata-rata Skor])</f>
        <v>288</v>
      </c>
      <c r="O289" s="6">
        <f>COUNTIFS(KabKota[Regional], B289, KabKota[Rata-rata Skor], "&gt;"&amp;M289) + 1</f>
        <v>97</v>
      </c>
    </row>
    <row r="290" ht="22.5" customHeight="1">
      <c r="A290" s="5">
        <v>241.0</v>
      </c>
      <c r="B290" s="5" t="s">
        <v>63</v>
      </c>
      <c r="C290" s="5" t="s">
        <v>23</v>
      </c>
      <c r="D290" s="5" t="s">
        <v>354</v>
      </c>
      <c r="E290" s="7">
        <v>73.02</v>
      </c>
      <c r="F290" s="8">
        <v>0.021</v>
      </c>
      <c r="G290" s="7">
        <f>VLOOKUP(C290,Provinsi[[#ALL],[Daerah]:[IDI]],4,0)</f>
        <v>6.07</v>
      </c>
      <c r="H290" s="9">
        <f>VLOOKUP(C290,Provinsi[[#ALL],[Daerah]:[IDI]],5,0)</f>
        <v>84.17</v>
      </c>
      <c r="I290" s="9">
        <f>(E290 - MIN(KabKota[IPM])) / (MAX(KabKota[IPM]) - MIN(KabKota[IPM])) * 100</f>
        <v>66.40243902</v>
      </c>
      <c r="J290" s="9">
        <f>(F290 - MIN(KabKota[IKF])) / (MAX(KabKota[IKF]) - MIN(KabKota[IKF])) * 100</f>
        <v>2.625</v>
      </c>
      <c r="K290" s="9">
        <f>(G290 - MIN(KabKota[TIK])) / (MAX(KabKota[TIK]) - MIN(KabKota[TIK])) * 100</f>
        <v>58.10185185</v>
      </c>
      <c r="L290" s="9">
        <f>(H290 - MIN(KabKota[IDI])) / (MAX(KabKota[IDI]) - MIN(KabKota[IDI])) * 100</f>
        <v>94.30812325</v>
      </c>
      <c r="M290" s="9">
        <f t="shared" si="1"/>
        <v>55.35935353</v>
      </c>
      <c r="N290" s="11">
        <f>_xlfn.RANK.EQ(M290,KabKota[Rata-rata Skor])</f>
        <v>289</v>
      </c>
      <c r="O290" s="6">
        <f>COUNTIFS(KabKota[Regional], B290, KabKota[Rata-rata Skor], "&gt;"&amp;M290) + 1</f>
        <v>99</v>
      </c>
    </row>
    <row r="291" ht="22.5" customHeight="1">
      <c r="A291" s="5">
        <v>204.0</v>
      </c>
      <c r="B291" s="5" t="s">
        <v>63</v>
      </c>
      <c r="C291" s="5" t="s">
        <v>30</v>
      </c>
      <c r="D291" s="5" t="s">
        <v>355</v>
      </c>
      <c r="E291" s="7">
        <v>73.4</v>
      </c>
      <c r="F291" s="8">
        <v>0.016</v>
      </c>
      <c r="G291" s="7">
        <f>VLOOKUP(C291,Provinsi[[#ALL],[Daerah]:[IDI]],4,0)</f>
        <v>5.98</v>
      </c>
      <c r="H291" s="9">
        <f>VLOOKUP(C291,Provinsi[[#ALL],[Daerah]:[IDI]],5,0)</f>
        <v>85.84</v>
      </c>
      <c r="I291" s="9">
        <f>(E291 - MIN(KabKota[IPM])) / (MAX(KabKota[IPM]) - MIN(KabKota[IPM])) * 100</f>
        <v>67.17479675</v>
      </c>
      <c r="J291" s="9">
        <f>(F291 - MIN(KabKota[IKF])) / (MAX(KabKota[IKF]) - MIN(KabKota[IKF])) * 100</f>
        <v>2</v>
      </c>
      <c r="K291" s="9">
        <f>(G291 - MIN(KabKota[TIK])) / (MAX(KabKota[TIK]) - MIN(KabKota[TIK])) * 100</f>
        <v>56.01851852</v>
      </c>
      <c r="L291" s="9">
        <f>(H291 - MIN(KabKota[IDI])) / (MAX(KabKota[IDI]) - MIN(KabKota[IDI])) * 100</f>
        <v>96.17927171</v>
      </c>
      <c r="M291" s="9">
        <f t="shared" si="1"/>
        <v>55.34314674</v>
      </c>
      <c r="N291" s="11">
        <f>_xlfn.RANK.EQ(M291,KabKota[Rata-rata Skor])</f>
        <v>290</v>
      </c>
      <c r="O291" s="6">
        <f>COUNTIFS(KabKota[Regional], B291, KabKota[Rata-rata Skor], "&gt;"&amp;M291) + 1</f>
        <v>100</v>
      </c>
    </row>
    <row r="292" ht="22.5" customHeight="1">
      <c r="A292" s="5">
        <v>216.0</v>
      </c>
      <c r="B292" s="5" t="s">
        <v>63</v>
      </c>
      <c r="C292" s="5" t="s">
        <v>30</v>
      </c>
      <c r="D292" s="5" t="s">
        <v>356</v>
      </c>
      <c r="E292" s="7">
        <v>71.18</v>
      </c>
      <c r="F292" s="8">
        <v>0.052</v>
      </c>
      <c r="G292" s="7">
        <f>VLOOKUP(C292,Provinsi[[#ALL],[Daerah]:[IDI]],4,0)</f>
        <v>5.98</v>
      </c>
      <c r="H292" s="9">
        <f>VLOOKUP(C292,Provinsi[[#ALL],[Daerah]:[IDI]],5,0)</f>
        <v>85.84</v>
      </c>
      <c r="I292" s="9">
        <f>(E292 - MIN(KabKota[IPM])) / (MAX(KabKota[IPM]) - MIN(KabKota[IPM])) * 100</f>
        <v>62.66260163</v>
      </c>
      <c r="J292" s="9">
        <f>(F292 - MIN(KabKota[IKF])) / (MAX(KabKota[IKF]) - MIN(KabKota[IKF])) * 100</f>
        <v>6.5</v>
      </c>
      <c r="K292" s="9">
        <f>(G292 - MIN(KabKota[TIK])) / (MAX(KabKota[TIK]) - MIN(KabKota[TIK])) * 100</f>
        <v>56.01851852</v>
      </c>
      <c r="L292" s="9">
        <f>(H292 - MIN(KabKota[IDI])) / (MAX(KabKota[IDI]) - MIN(KabKota[IDI])) * 100</f>
        <v>96.17927171</v>
      </c>
      <c r="M292" s="9">
        <f t="shared" si="1"/>
        <v>55.34009796</v>
      </c>
      <c r="N292" s="11">
        <f>_xlfn.RANK.EQ(M292,KabKota[Rata-rata Skor])</f>
        <v>291</v>
      </c>
      <c r="O292" s="6">
        <f>COUNTIFS(KabKota[Regional], B292, KabKota[Rata-rata Skor], "&gt;"&amp;M292) + 1</f>
        <v>101</v>
      </c>
    </row>
    <row r="293" ht="22.5" customHeight="1">
      <c r="A293" s="5">
        <v>166.0</v>
      </c>
      <c r="B293" s="5" t="s">
        <v>63</v>
      </c>
      <c r="C293" s="5" t="s">
        <v>19</v>
      </c>
      <c r="D293" s="5" t="s">
        <v>357</v>
      </c>
      <c r="E293" s="7">
        <v>70.76</v>
      </c>
      <c r="F293" s="8">
        <v>0.021</v>
      </c>
      <c r="G293" s="7">
        <f>VLOOKUP(C293,Provinsi[[#ALL],[Daerah]:[IDI]],4,0)</f>
        <v>6.33</v>
      </c>
      <c r="H293" s="9">
        <f>VLOOKUP(C293,Provinsi[[#ALL],[Daerah]:[IDI]],5,0)</f>
        <v>82.8</v>
      </c>
      <c r="I293" s="9">
        <f>(E293 - MIN(KabKota[IPM])) / (MAX(KabKota[IPM]) - MIN(KabKota[IPM])) * 100</f>
        <v>61.80894309</v>
      </c>
      <c r="J293" s="9">
        <f>(F293 - MIN(KabKota[IKF])) / (MAX(KabKota[IKF]) - MIN(KabKota[IKF])) * 100</f>
        <v>2.625</v>
      </c>
      <c r="K293" s="9">
        <f>(G293 - MIN(KabKota[TIK])) / (MAX(KabKota[TIK]) - MIN(KabKota[TIK])) * 100</f>
        <v>64.12037037</v>
      </c>
      <c r="L293" s="9">
        <f>(H293 - MIN(KabKota[IDI])) / (MAX(KabKota[IDI]) - MIN(KabKota[IDI])) * 100</f>
        <v>92.77310924</v>
      </c>
      <c r="M293" s="9">
        <f t="shared" si="1"/>
        <v>55.33185568</v>
      </c>
      <c r="N293" s="11">
        <f>_xlfn.RANK.EQ(M293,KabKota[Rata-rata Skor])</f>
        <v>292</v>
      </c>
      <c r="O293" s="6">
        <f>COUNTIFS(KabKota[Regional], B293, KabKota[Rata-rata Skor], "&gt;"&amp;M293) + 1</f>
        <v>102</v>
      </c>
    </row>
    <row r="294" ht="22.5" customHeight="1">
      <c r="A294" s="5">
        <v>110.0</v>
      </c>
      <c r="B294" s="5" t="s">
        <v>70</v>
      </c>
      <c r="C294" s="5" t="s">
        <v>29</v>
      </c>
      <c r="D294" s="5" t="s">
        <v>358</v>
      </c>
      <c r="E294" s="7">
        <v>70.55</v>
      </c>
      <c r="F294" s="8">
        <v>0.091</v>
      </c>
      <c r="G294" s="7">
        <f>VLOOKUP(C294,Provinsi[[#ALL],[Daerah]:[IDI]],4,0)</f>
        <v>5.97</v>
      </c>
      <c r="H294" s="9">
        <f>VLOOKUP(C294,Provinsi[[#ALL],[Daerah]:[IDI]],5,0)</f>
        <v>82.71</v>
      </c>
      <c r="I294" s="9">
        <f>(E294 - MIN(KabKota[IPM])) / (MAX(KabKota[IPM]) - MIN(KabKota[IPM])) * 100</f>
        <v>61.38211382</v>
      </c>
      <c r="J294" s="9">
        <f>(F294 - MIN(KabKota[IKF])) / (MAX(KabKota[IKF]) - MIN(KabKota[IKF])) * 100</f>
        <v>11.375</v>
      </c>
      <c r="K294" s="9">
        <f>(G294 - MIN(KabKota[TIK])) / (MAX(KabKota[TIK]) - MIN(KabKota[TIK])) * 100</f>
        <v>55.78703704</v>
      </c>
      <c r="L294" s="9">
        <f>(H294 - MIN(KabKota[IDI])) / (MAX(KabKota[IDI]) - MIN(KabKota[IDI])) * 100</f>
        <v>92.67226891</v>
      </c>
      <c r="M294" s="9">
        <f t="shared" si="1"/>
        <v>55.30410494</v>
      </c>
      <c r="N294" s="11">
        <f>_xlfn.RANK.EQ(M294,KabKota[Rata-rata Skor])</f>
        <v>293</v>
      </c>
      <c r="O294" s="6">
        <f>COUNTIFS(KabKota[Regional], B294, KabKota[Rata-rata Skor], "&gt;"&amp;M294) + 1</f>
        <v>98</v>
      </c>
    </row>
    <row r="295" ht="22.5" customHeight="1">
      <c r="A295" s="5">
        <v>338.0</v>
      </c>
      <c r="B295" s="5" t="s">
        <v>77</v>
      </c>
      <c r="C295" s="5" t="s">
        <v>40</v>
      </c>
      <c r="D295" s="5" t="s">
        <v>359</v>
      </c>
      <c r="E295" s="7">
        <v>74.46</v>
      </c>
      <c r="F295" s="8">
        <v>0.056</v>
      </c>
      <c r="G295" s="7">
        <f>VLOOKUP(C295,Provinsi[[#ALL],[Daerah]:[IDI]],4,0)</f>
        <v>6.02</v>
      </c>
      <c r="H295" s="9">
        <f>VLOOKUP(C295,Provinsi[[#ALL],[Daerah]:[IDI]],5,0)</f>
        <v>78.47</v>
      </c>
      <c r="I295" s="9">
        <f>(E295 - MIN(KabKota[IPM])) / (MAX(KabKota[IPM]) - MIN(KabKota[IPM])) * 100</f>
        <v>69.32926829</v>
      </c>
      <c r="J295" s="9">
        <f>(F295 - MIN(KabKota[IKF])) / (MAX(KabKota[IKF]) - MIN(KabKota[IKF])) * 100</f>
        <v>7</v>
      </c>
      <c r="K295" s="9">
        <f>(G295 - MIN(KabKota[TIK])) / (MAX(KabKota[TIK]) - MIN(KabKota[TIK])) * 100</f>
        <v>56.94444444</v>
      </c>
      <c r="L295" s="9">
        <f>(H295 - MIN(KabKota[IDI])) / (MAX(KabKota[IDI]) - MIN(KabKota[IDI])) * 100</f>
        <v>87.92156863</v>
      </c>
      <c r="M295" s="9">
        <f t="shared" si="1"/>
        <v>55.29882034</v>
      </c>
      <c r="N295" s="11">
        <f>_xlfn.RANK.EQ(M295,KabKota[Rata-rata Skor])</f>
        <v>294</v>
      </c>
      <c r="O295" s="6">
        <f>COUNTIFS(KabKota[Regional], B295, KabKota[Rata-rata Skor], "&gt;"&amp;M295) + 1</f>
        <v>39</v>
      </c>
    </row>
    <row r="296" ht="22.5" customHeight="1">
      <c r="A296" s="5">
        <v>292.0</v>
      </c>
      <c r="B296" s="5" t="s">
        <v>60</v>
      </c>
      <c r="C296" s="5" t="s">
        <v>45</v>
      </c>
      <c r="D296" s="5" t="s">
        <v>360</v>
      </c>
      <c r="E296" s="7">
        <v>79.41</v>
      </c>
      <c r="F296" s="8">
        <v>0.02</v>
      </c>
      <c r="G296" s="7">
        <f>VLOOKUP(C296,Provinsi[[#ALL],[Daerah]:[IDI]],4,0)</f>
        <v>5.88</v>
      </c>
      <c r="H296" s="9">
        <f>VLOOKUP(C296,Provinsi[[#ALL],[Daerah]:[IDI]],5,0)</f>
        <v>76.37</v>
      </c>
      <c r="I296" s="9">
        <f>(E296 - MIN(KabKota[IPM])) / (MAX(KabKota[IPM]) - MIN(KabKota[IPM])) * 100</f>
        <v>79.3902439</v>
      </c>
      <c r="J296" s="9">
        <f>(F296 - MIN(KabKota[IKF])) / (MAX(KabKota[IKF]) - MIN(KabKota[IKF])) * 100</f>
        <v>2.5</v>
      </c>
      <c r="K296" s="9">
        <f>(G296 - MIN(KabKota[TIK])) / (MAX(KabKota[TIK]) - MIN(KabKota[TIK])) * 100</f>
        <v>53.7037037</v>
      </c>
      <c r="L296" s="9">
        <f>(H296 - MIN(KabKota[IDI])) / (MAX(KabKota[IDI]) - MIN(KabKota[IDI])) * 100</f>
        <v>85.56862745</v>
      </c>
      <c r="M296" s="9">
        <f t="shared" si="1"/>
        <v>55.29064376</v>
      </c>
      <c r="N296" s="11">
        <f>_xlfn.RANK.EQ(M296,KabKota[Rata-rata Skor])</f>
        <v>295</v>
      </c>
      <c r="O296" s="6">
        <f>COUNTIFS(KabKota[Regional], B296, KabKota[Rata-rata Skor], "&gt;"&amp;M296) + 1</f>
        <v>16</v>
      </c>
    </row>
    <row r="297" ht="22.5" customHeight="1">
      <c r="A297" s="5">
        <v>5.0</v>
      </c>
      <c r="B297" s="5" t="s">
        <v>70</v>
      </c>
      <c r="C297" s="5" t="s">
        <v>36</v>
      </c>
      <c r="D297" s="5" t="s">
        <v>361</v>
      </c>
      <c r="E297" s="7">
        <v>76.3</v>
      </c>
      <c r="F297" s="8">
        <v>0.057</v>
      </c>
      <c r="G297" s="7">
        <f>VLOOKUP(C297,Provinsi[[#ALL],[Daerah]:[IDI]],4,0)</f>
        <v>5.97</v>
      </c>
      <c r="H297" s="9">
        <f>VLOOKUP(C297,Provinsi[[#ALL],[Daerah]:[IDI]],5,0)</f>
        <v>75.8</v>
      </c>
      <c r="I297" s="9">
        <f>(E297 - MIN(KabKota[IPM])) / (MAX(KabKota[IPM]) - MIN(KabKota[IPM])) * 100</f>
        <v>73.06910569</v>
      </c>
      <c r="J297" s="9">
        <f>(F297 - MIN(KabKota[IKF])) / (MAX(KabKota[IKF]) - MIN(KabKota[IKF])) * 100</f>
        <v>7.125</v>
      </c>
      <c r="K297" s="9">
        <f>(G297 - MIN(KabKota[TIK])) / (MAX(KabKota[TIK]) - MIN(KabKota[TIK])) * 100</f>
        <v>55.78703704</v>
      </c>
      <c r="L297" s="9">
        <f>(H297 - MIN(KabKota[IDI])) / (MAX(KabKota[IDI]) - MIN(KabKota[IDI])) * 100</f>
        <v>84.92997199</v>
      </c>
      <c r="M297" s="9">
        <f t="shared" si="1"/>
        <v>55.22777868</v>
      </c>
      <c r="N297" s="11">
        <f>_xlfn.RANK.EQ(M297,KabKota[Rata-rata Skor])</f>
        <v>296</v>
      </c>
      <c r="O297" s="6">
        <f>COUNTIFS(KabKota[Regional], B297, KabKota[Rata-rata Skor], "&gt;"&amp;M297) + 1</f>
        <v>99</v>
      </c>
    </row>
    <row r="298" ht="22.5" customHeight="1">
      <c r="A298" s="5">
        <v>36.0</v>
      </c>
      <c r="B298" s="5" t="s">
        <v>70</v>
      </c>
      <c r="C298" s="5" t="s">
        <v>21</v>
      </c>
      <c r="D298" s="5" t="s">
        <v>362</v>
      </c>
      <c r="E298" s="7">
        <v>74.26</v>
      </c>
      <c r="F298" s="8">
        <v>0.008</v>
      </c>
      <c r="G298" s="7">
        <f>VLOOKUP(C298,Provinsi[[#ALL],[Daerah]:[IDI]],4,0)</f>
        <v>6.2</v>
      </c>
      <c r="H298" s="9">
        <f>VLOOKUP(C298,Provinsi[[#ALL],[Daerah]:[IDI]],5,0)</f>
        <v>80.19</v>
      </c>
      <c r="I298" s="9">
        <f>(E298 - MIN(KabKota[IPM])) / (MAX(KabKota[IPM]) - MIN(KabKota[IPM])) * 100</f>
        <v>68.92276423</v>
      </c>
      <c r="J298" s="9">
        <f>(F298 - MIN(KabKota[IKF])) / (MAX(KabKota[IKF]) - MIN(KabKota[IKF])) * 100</f>
        <v>1</v>
      </c>
      <c r="K298" s="9">
        <f>(G298 - MIN(KabKota[TIK])) / (MAX(KabKota[TIK]) - MIN(KabKota[TIK])) * 100</f>
        <v>61.11111111</v>
      </c>
      <c r="L298" s="9">
        <f>(H298 - MIN(KabKota[IDI])) / (MAX(KabKota[IDI]) - MIN(KabKota[IDI])) * 100</f>
        <v>89.8487395</v>
      </c>
      <c r="M298" s="9">
        <f t="shared" si="1"/>
        <v>55.22065371</v>
      </c>
      <c r="N298" s="11">
        <f>_xlfn.RANK.EQ(M298,KabKota[Rata-rata Skor])</f>
        <v>297</v>
      </c>
      <c r="O298" s="6">
        <f>COUNTIFS(KabKota[Regional], B298, KabKota[Rata-rata Skor], "&gt;"&amp;M298) + 1</f>
        <v>100</v>
      </c>
    </row>
    <row r="299" ht="22.5" customHeight="1">
      <c r="A299" s="5">
        <v>56.0</v>
      </c>
      <c r="B299" s="5" t="s">
        <v>70</v>
      </c>
      <c r="C299" s="5" t="s">
        <v>21</v>
      </c>
      <c r="D299" s="5" t="s">
        <v>363</v>
      </c>
      <c r="E299" s="7">
        <v>73.29</v>
      </c>
      <c r="F299" s="8">
        <v>0.023</v>
      </c>
      <c r="G299" s="7">
        <f>VLOOKUP(C299,Provinsi[[#ALL],[Daerah]:[IDI]],4,0)</f>
        <v>6.2</v>
      </c>
      <c r="H299" s="9">
        <f>VLOOKUP(C299,Provinsi[[#ALL],[Daerah]:[IDI]],5,0)</f>
        <v>80.19</v>
      </c>
      <c r="I299" s="9">
        <f>(E299 - MIN(KabKota[IPM])) / (MAX(KabKota[IPM]) - MIN(KabKota[IPM])) * 100</f>
        <v>66.95121951</v>
      </c>
      <c r="J299" s="9">
        <f>(F299 - MIN(KabKota[IKF])) / (MAX(KabKota[IKF]) - MIN(KabKota[IKF])) * 100</f>
        <v>2.875</v>
      </c>
      <c r="K299" s="9">
        <f>(G299 - MIN(KabKota[TIK])) / (MAX(KabKota[TIK]) - MIN(KabKota[TIK])) * 100</f>
        <v>61.11111111</v>
      </c>
      <c r="L299" s="9">
        <f>(H299 - MIN(KabKota[IDI])) / (MAX(KabKota[IDI]) - MIN(KabKota[IDI])) * 100</f>
        <v>89.8487395</v>
      </c>
      <c r="M299" s="9">
        <f t="shared" si="1"/>
        <v>55.19651753</v>
      </c>
      <c r="N299" s="11">
        <f>_xlfn.RANK.EQ(M299,KabKota[Rata-rata Skor])</f>
        <v>298</v>
      </c>
      <c r="O299" s="6">
        <f>COUNTIFS(KabKota[Regional], B299, KabKota[Rata-rata Skor], "&gt;"&amp;M299) + 1</f>
        <v>101</v>
      </c>
    </row>
    <row r="300" ht="22.5" customHeight="1">
      <c r="A300" s="5">
        <v>190.0</v>
      </c>
      <c r="B300" s="5" t="s">
        <v>63</v>
      </c>
      <c r="C300" s="5" t="s">
        <v>30</v>
      </c>
      <c r="D300" s="5" t="s">
        <v>364</v>
      </c>
      <c r="E300" s="7">
        <v>71.71</v>
      </c>
      <c r="F300" s="8">
        <v>0.038</v>
      </c>
      <c r="G300" s="7">
        <f>VLOOKUP(C300,Provinsi[[#ALL],[Daerah]:[IDI]],4,0)</f>
        <v>5.98</v>
      </c>
      <c r="H300" s="9">
        <f>VLOOKUP(C300,Provinsi[[#ALL],[Daerah]:[IDI]],5,0)</f>
        <v>85.84</v>
      </c>
      <c r="I300" s="9">
        <f>(E300 - MIN(KabKota[IPM])) / (MAX(KabKota[IPM]) - MIN(KabKota[IPM])) * 100</f>
        <v>63.7398374</v>
      </c>
      <c r="J300" s="9">
        <f>(F300 - MIN(KabKota[IKF])) / (MAX(KabKota[IKF]) - MIN(KabKota[IKF])) * 100</f>
        <v>4.75</v>
      </c>
      <c r="K300" s="9">
        <f>(G300 - MIN(KabKota[TIK])) / (MAX(KabKota[TIK]) - MIN(KabKota[TIK])) * 100</f>
        <v>56.01851852</v>
      </c>
      <c r="L300" s="9">
        <f>(H300 - MIN(KabKota[IDI])) / (MAX(KabKota[IDI]) - MIN(KabKota[IDI])) * 100</f>
        <v>96.17927171</v>
      </c>
      <c r="M300" s="9">
        <f t="shared" si="1"/>
        <v>55.17190691</v>
      </c>
      <c r="N300" s="11">
        <f>_xlfn.RANK.EQ(M300,KabKota[Rata-rata Skor])</f>
        <v>299</v>
      </c>
      <c r="O300" s="6">
        <f>COUNTIFS(KabKota[Regional], B300, KabKota[Rata-rata Skor], "&gt;"&amp;M300) + 1</f>
        <v>103</v>
      </c>
    </row>
    <row r="301" ht="22.5" customHeight="1">
      <c r="A301" s="5">
        <v>106.0</v>
      </c>
      <c r="B301" s="5" t="s">
        <v>70</v>
      </c>
      <c r="C301" s="5" t="s">
        <v>29</v>
      </c>
      <c r="D301" s="5" t="s">
        <v>365</v>
      </c>
      <c r="E301" s="7">
        <v>74.42</v>
      </c>
      <c r="F301" s="8">
        <v>0.022</v>
      </c>
      <c r="G301" s="7">
        <f>VLOOKUP(C301,Provinsi[[#ALL],[Daerah]:[IDI]],4,0)</f>
        <v>5.97</v>
      </c>
      <c r="H301" s="9">
        <f>VLOOKUP(C301,Provinsi[[#ALL],[Daerah]:[IDI]],5,0)</f>
        <v>82.71</v>
      </c>
      <c r="I301" s="9">
        <f>(E301 - MIN(KabKota[IPM])) / (MAX(KabKota[IPM]) - MIN(KabKota[IPM])) * 100</f>
        <v>69.24796748</v>
      </c>
      <c r="J301" s="9">
        <f>(F301 - MIN(KabKota[IKF])) / (MAX(KabKota[IKF]) - MIN(KabKota[IKF])) * 100</f>
        <v>2.75</v>
      </c>
      <c r="K301" s="9">
        <f>(G301 - MIN(KabKota[TIK])) / (MAX(KabKota[TIK]) - MIN(KabKota[TIK])) * 100</f>
        <v>55.78703704</v>
      </c>
      <c r="L301" s="9">
        <f>(H301 - MIN(KabKota[IDI])) / (MAX(KabKota[IDI]) - MIN(KabKota[IDI])) * 100</f>
        <v>92.67226891</v>
      </c>
      <c r="M301" s="9">
        <f t="shared" si="1"/>
        <v>55.11431836</v>
      </c>
      <c r="N301" s="11">
        <f>_xlfn.RANK.EQ(M301,KabKota[Rata-rata Skor])</f>
        <v>300</v>
      </c>
      <c r="O301" s="6">
        <f>COUNTIFS(KabKota[Regional], B301, KabKota[Rata-rata Skor], "&gt;"&amp;M301) + 1</f>
        <v>102</v>
      </c>
    </row>
    <row r="302" ht="22.5" customHeight="1">
      <c r="A302" s="5">
        <v>322.0</v>
      </c>
      <c r="B302" s="5" t="s">
        <v>77</v>
      </c>
      <c r="C302" s="5" t="s">
        <v>35</v>
      </c>
      <c r="D302" s="5" t="s">
        <v>366</v>
      </c>
      <c r="E302" s="7">
        <v>69.92</v>
      </c>
      <c r="F302" s="8">
        <v>0.077</v>
      </c>
      <c r="G302" s="7">
        <f>VLOOKUP(C302,Provinsi[[#ALL],[Daerah]:[IDI]],4,0)</f>
        <v>5.9</v>
      </c>
      <c r="H302" s="9">
        <f>VLOOKUP(C302,Provinsi[[#ALL],[Daerah]:[IDI]],5,0)</f>
        <v>86.17</v>
      </c>
      <c r="I302" s="9">
        <f>(E302 - MIN(KabKota[IPM])) / (MAX(KabKota[IPM]) - MIN(KabKota[IPM])) * 100</f>
        <v>60.10162602</v>
      </c>
      <c r="J302" s="9">
        <f>(F302 - MIN(KabKota[IKF])) / (MAX(KabKota[IKF]) - MIN(KabKota[IKF])) * 100</f>
        <v>9.625</v>
      </c>
      <c r="K302" s="9">
        <f>(G302 - MIN(KabKota[TIK])) / (MAX(KabKota[TIK]) - MIN(KabKota[TIK])) * 100</f>
        <v>54.16666667</v>
      </c>
      <c r="L302" s="9">
        <f>(H302 - MIN(KabKota[IDI])) / (MAX(KabKota[IDI]) - MIN(KabKota[IDI])) * 100</f>
        <v>96.54901961</v>
      </c>
      <c r="M302" s="9">
        <f t="shared" si="1"/>
        <v>55.11057807</v>
      </c>
      <c r="N302" s="11">
        <f>_xlfn.RANK.EQ(M302,KabKota[Rata-rata Skor])</f>
        <v>301</v>
      </c>
      <c r="O302" s="6">
        <f>COUNTIFS(KabKota[Regional], B302, KabKota[Rata-rata Skor], "&gt;"&amp;M302) + 1</f>
        <v>40</v>
      </c>
    </row>
    <row r="303" ht="22.5" customHeight="1">
      <c r="A303" s="5">
        <v>37.0</v>
      </c>
      <c r="B303" s="5" t="s">
        <v>70</v>
      </c>
      <c r="C303" s="5" t="s">
        <v>21</v>
      </c>
      <c r="D303" s="5" t="s">
        <v>367</v>
      </c>
      <c r="E303" s="7">
        <v>66.74</v>
      </c>
      <c r="F303" s="8">
        <v>0.126</v>
      </c>
      <c r="G303" s="7">
        <f>VLOOKUP(C303,Provinsi[[#ALL],[Daerah]:[IDI]],4,0)</f>
        <v>6.2</v>
      </c>
      <c r="H303" s="9">
        <f>VLOOKUP(C303,Provinsi[[#ALL],[Daerah]:[IDI]],5,0)</f>
        <v>80.19</v>
      </c>
      <c r="I303" s="9">
        <f>(E303 - MIN(KabKota[IPM])) / (MAX(KabKota[IPM]) - MIN(KabKota[IPM])) * 100</f>
        <v>53.63821138</v>
      </c>
      <c r="J303" s="9">
        <f>(F303 - MIN(KabKota[IKF])) / (MAX(KabKota[IKF]) - MIN(KabKota[IKF])) * 100</f>
        <v>15.75</v>
      </c>
      <c r="K303" s="9">
        <f>(G303 - MIN(KabKota[TIK])) / (MAX(KabKota[TIK]) - MIN(KabKota[TIK])) * 100</f>
        <v>61.11111111</v>
      </c>
      <c r="L303" s="9">
        <f>(H303 - MIN(KabKota[IDI])) / (MAX(KabKota[IDI]) - MIN(KabKota[IDI])) * 100</f>
        <v>89.8487395</v>
      </c>
      <c r="M303" s="9">
        <f t="shared" si="1"/>
        <v>55.0870155</v>
      </c>
      <c r="N303" s="11">
        <f>_xlfn.RANK.EQ(M303,KabKota[Rata-rata Skor])</f>
        <v>302</v>
      </c>
      <c r="O303" s="6">
        <f>COUNTIFS(KabKota[Regional], B303, KabKota[Rata-rata Skor], "&gt;"&amp;M303) + 1</f>
        <v>103</v>
      </c>
    </row>
    <row r="304" ht="22.5" customHeight="1">
      <c r="A304" s="5">
        <v>163.0</v>
      </c>
      <c r="B304" s="5" t="s">
        <v>63</v>
      </c>
      <c r="C304" s="5" t="s">
        <v>19</v>
      </c>
      <c r="D304" s="5" t="s">
        <v>368</v>
      </c>
      <c r="E304" s="7">
        <v>69.84</v>
      </c>
      <c r="F304" s="8">
        <v>0.028</v>
      </c>
      <c r="G304" s="7">
        <f>VLOOKUP(C304,Provinsi[[#ALL],[Daerah]:[IDI]],4,0)</f>
        <v>6.33</v>
      </c>
      <c r="H304" s="9">
        <f>VLOOKUP(C304,Provinsi[[#ALL],[Daerah]:[IDI]],5,0)</f>
        <v>82.8</v>
      </c>
      <c r="I304" s="9">
        <f>(E304 - MIN(KabKota[IPM])) / (MAX(KabKota[IPM]) - MIN(KabKota[IPM])) * 100</f>
        <v>59.93902439</v>
      </c>
      <c r="J304" s="9">
        <f>(F304 - MIN(KabKota[IKF])) / (MAX(KabKota[IKF]) - MIN(KabKota[IKF])) * 100</f>
        <v>3.5</v>
      </c>
      <c r="K304" s="9">
        <f>(G304 - MIN(KabKota[TIK])) / (MAX(KabKota[TIK]) - MIN(KabKota[TIK])) * 100</f>
        <v>64.12037037</v>
      </c>
      <c r="L304" s="9">
        <f>(H304 - MIN(KabKota[IDI])) / (MAX(KabKota[IDI]) - MIN(KabKota[IDI])) * 100</f>
        <v>92.77310924</v>
      </c>
      <c r="M304" s="9">
        <f t="shared" si="1"/>
        <v>55.083126</v>
      </c>
      <c r="N304" s="11">
        <f>_xlfn.RANK.EQ(M304,KabKota[Rata-rata Skor])</f>
        <v>303</v>
      </c>
      <c r="O304" s="6">
        <f>COUNTIFS(KabKota[Regional], B304, KabKota[Rata-rata Skor], "&gt;"&amp;M304) + 1</f>
        <v>104</v>
      </c>
    </row>
    <row r="305" ht="22.5" customHeight="1">
      <c r="A305" s="5">
        <v>378.0</v>
      </c>
      <c r="B305" s="5" t="s">
        <v>75</v>
      </c>
      <c r="C305" s="5" t="s">
        <v>37</v>
      </c>
      <c r="D305" s="5" t="s">
        <v>369</v>
      </c>
      <c r="E305" s="7">
        <v>72.28</v>
      </c>
      <c r="F305" s="8">
        <v>0.051</v>
      </c>
      <c r="G305" s="7">
        <f>VLOOKUP(C305,Provinsi[[#ALL],[Daerah]:[IDI]],4,0)</f>
        <v>6.03</v>
      </c>
      <c r="H305" s="9">
        <f>VLOOKUP(C305,Provinsi[[#ALL],[Daerah]:[IDI]],5,0)</f>
        <v>81.87</v>
      </c>
      <c r="I305" s="9">
        <f>(E305 - MIN(KabKota[IPM])) / (MAX(KabKota[IPM]) - MIN(KabKota[IPM])) * 100</f>
        <v>64.89837398</v>
      </c>
      <c r="J305" s="9">
        <f>(F305 - MIN(KabKota[IKF])) / (MAX(KabKota[IKF]) - MIN(KabKota[IKF])) * 100</f>
        <v>6.375</v>
      </c>
      <c r="K305" s="9">
        <f>(G305 - MIN(KabKota[TIK])) / (MAX(KabKota[TIK]) - MIN(KabKota[TIK])) * 100</f>
        <v>57.17592593</v>
      </c>
      <c r="L305" s="9">
        <f>(H305 - MIN(KabKota[IDI])) / (MAX(KabKota[IDI]) - MIN(KabKota[IDI])) * 100</f>
        <v>91.73109244</v>
      </c>
      <c r="M305" s="9">
        <f t="shared" si="1"/>
        <v>55.04509809</v>
      </c>
      <c r="N305" s="11">
        <f>_xlfn.RANK.EQ(M305,KabKota[Rata-rata Skor])</f>
        <v>304</v>
      </c>
      <c r="O305" s="6">
        <f>COUNTIFS(KabKota[Regional], B305, KabKota[Rata-rata Skor], "&gt;"&amp;M305) + 1</f>
        <v>37</v>
      </c>
    </row>
    <row r="306" ht="22.5" customHeight="1">
      <c r="A306" s="5">
        <v>84.0</v>
      </c>
      <c r="B306" s="5" t="s">
        <v>70</v>
      </c>
      <c r="C306" s="5" t="s">
        <v>33</v>
      </c>
      <c r="D306" s="5" t="s">
        <v>370</v>
      </c>
      <c r="E306" s="7">
        <v>74.62</v>
      </c>
      <c r="F306" s="8">
        <v>0.011</v>
      </c>
      <c r="G306" s="7">
        <f>VLOOKUP(C306,Provinsi[[#ALL],[Daerah]:[IDI]],4,0)</f>
        <v>6.27</v>
      </c>
      <c r="H306" s="9">
        <f>VLOOKUP(C306,Provinsi[[#ALL],[Daerah]:[IDI]],5,0)</f>
        <v>77.06</v>
      </c>
      <c r="I306" s="9">
        <f>(E306 - MIN(KabKota[IPM])) / (MAX(KabKota[IPM]) - MIN(KabKota[IPM])) * 100</f>
        <v>69.65447154</v>
      </c>
      <c r="J306" s="9">
        <f>(F306 - MIN(KabKota[IKF])) / (MAX(KabKota[IKF]) - MIN(KabKota[IKF])) * 100</f>
        <v>1.375</v>
      </c>
      <c r="K306" s="9">
        <f>(G306 - MIN(KabKota[TIK])) / (MAX(KabKota[TIK]) - MIN(KabKota[TIK])) * 100</f>
        <v>62.73148148</v>
      </c>
      <c r="L306" s="9">
        <f>(H306 - MIN(KabKota[IDI])) / (MAX(KabKota[IDI]) - MIN(KabKota[IDI])) * 100</f>
        <v>86.34173669</v>
      </c>
      <c r="M306" s="9">
        <f t="shared" si="1"/>
        <v>55.02567243</v>
      </c>
      <c r="N306" s="11">
        <f>_xlfn.RANK.EQ(M306,KabKota[Rata-rata Skor])</f>
        <v>305</v>
      </c>
      <c r="O306" s="6">
        <f>COUNTIFS(KabKota[Regional], B306, KabKota[Rata-rata Skor], "&gt;"&amp;M306) + 1</f>
        <v>104</v>
      </c>
    </row>
    <row r="307" ht="22.5" customHeight="1">
      <c r="A307" s="5">
        <v>379.0</v>
      </c>
      <c r="B307" s="5" t="s">
        <v>75</v>
      </c>
      <c r="C307" s="5" t="s">
        <v>37</v>
      </c>
      <c r="D307" s="5" t="s">
        <v>371</v>
      </c>
      <c r="E307" s="7">
        <v>72.17</v>
      </c>
      <c r="F307" s="8">
        <v>0.052</v>
      </c>
      <c r="G307" s="7">
        <f>VLOOKUP(C307,Provinsi[[#ALL],[Daerah]:[IDI]],4,0)</f>
        <v>6.03</v>
      </c>
      <c r="H307" s="9">
        <f>VLOOKUP(C307,Provinsi[[#ALL],[Daerah]:[IDI]],5,0)</f>
        <v>81.87</v>
      </c>
      <c r="I307" s="9">
        <f>(E307 - MIN(KabKota[IPM])) / (MAX(KabKota[IPM]) - MIN(KabKota[IPM])) * 100</f>
        <v>64.67479675</v>
      </c>
      <c r="J307" s="9">
        <f>(F307 - MIN(KabKota[IKF])) / (MAX(KabKota[IKF]) - MIN(KabKota[IKF])) * 100</f>
        <v>6.5</v>
      </c>
      <c r="K307" s="9">
        <f>(G307 - MIN(KabKota[TIK])) / (MAX(KabKota[TIK]) - MIN(KabKota[TIK])) * 100</f>
        <v>57.17592593</v>
      </c>
      <c r="L307" s="9">
        <f>(H307 - MIN(KabKota[IDI])) / (MAX(KabKota[IDI]) - MIN(KabKota[IDI])) * 100</f>
        <v>91.73109244</v>
      </c>
      <c r="M307" s="9">
        <f t="shared" si="1"/>
        <v>55.02045378</v>
      </c>
      <c r="N307" s="11">
        <f>_xlfn.RANK.EQ(M307,KabKota[Rata-rata Skor])</f>
        <v>306</v>
      </c>
      <c r="O307" s="6">
        <f>COUNTIFS(KabKota[Regional], B307, KabKota[Rata-rata Skor], "&gt;"&amp;M307) + 1</f>
        <v>38</v>
      </c>
    </row>
    <row r="308" ht="22.5" customHeight="1">
      <c r="A308" s="5">
        <v>212.0</v>
      </c>
      <c r="B308" s="5" t="s">
        <v>63</v>
      </c>
      <c r="C308" s="5" t="s">
        <v>30</v>
      </c>
      <c r="D308" s="5" t="s">
        <v>372</v>
      </c>
      <c r="E308" s="7">
        <v>71.7</v>
      </c>
      <c r="F308" s="8">
        <v>0.032</v>
      </c>
      <c r="G308" s="7">
        <f>VLOOKUP(C308,Provinsi[[#ALL],[Daerah]:[IDI]],4,0)</f>
        <v>5.98</v>
      </c>
      <c r="H308" s="9">
        <f>VLOOKUP(C308,Provinsi[[#ALL],[Daerah]:[IDI]],5,0)</f>
        <v>85.84</v>
      </c>
      <c r="I308" s="9">
        <f>(E308 - MIN(KabKota[IPM])) / (MAX(KabKota[IPM]) - MIN(KabKota[IPM])) * 100</f>
        <v>63.7195122</v>
      </c>
      <c r="J308" s="9">
        <f>(F308 - MIN(KabKota[IKF])) / (MAX(KabKota[IKF]) - MIN(KabKota[IKF])) * 100</f>
        <v>4</v>
      </c>
      <c r="K308" s="9">
        <f>(G308 - MIN(KabKota[TIK])) / (MAX(KabKota[TIK]) - MIN(KabKota[TIK])) * 100</f>
        <v>56.01851852</v>
      </c>
      <c r="L308" s="9">
        <f>(H308 - MIN(KabKota[IDI])) / (MAX(KabKota[IDI]) - MIN(KabKota[IDI])) * 100</f>
        <v>96.17927171</v>
      </c>
      <c r="M308" s="9">
        <f t="shared" si="1"/>
        <v>54.97932561</v>
      </c>
      <c r="N308" s="11">
        <f>_xlfn.RANK.EQ(M308,KabKota[Rata-rata Skor])</f>
        <v>307</v>
      </c>
      <c r="O308" s="6">
        <f>COUNTIFS(KabKota[Regional], B308, KabKota[Rata-rata Skor], "&gt;"&amp;M308) + 1</f>
        <v>105</v>
      </c>
    </row>
    <row r="309" ht="22.5" customHeight="1">
      <c r="A309" s="5">
        <v>58.0</v>
      </c>
      <c r="B309" s="5" t="s">
        <v>70</v>
      </c>
      <c r="C309" s="5" t="s">
        <v>34</v>
      </c>
      <c r="D309" s="5" t="s">
        <v>373</v>
      </c>
      <c r="E309" s="7">
        <v>73.26</v>
      </c>
      <c r="F309" s="8">
        <v>0.015</v>
      </c>
      <c r="G309" s="7">
        <f>VLOOKUP(C309,Provinsi[[#ALL],[Daerah]:[IDI]],4,0)</f>
        <v>6.27</v>
      </c>
      <c r="H309" s="9">
        <f>VLOOKUP(C309,Provinsi[[#ALL],[Daerah]:[IDI]],5,0)</f>
        <v>78.83</v>
      </c>
      <c r="I309" s="9">
        <f>(E309 - MIN(KabKota[IPM])) / (MAX(KabKota[IPM]) - MIN(KabKota[IPM])) * 100</f>
        <v>66.8902439</v>
      </c>
      <c r="J309" s="9">
        <f>(F309 - MIN(KabKota[IKF])) / (MAX(KabKota[IKF]) - MIN(KabKota[IKF])) * 100</f>
        <v>1.875</v>
      </c>
      <c r="K309" s="9">
        <f>(G309 - MIN(KabKota[TIK])) / (MAX(KabKota[TIK]) - MIN(KabKota[TIK])) * 100</f>
        <v>62.73148148</v>
      </c>
      <c r="L309" s="9">
        <f>(H309 - MIN(KabKota[IDI])) / (MAX(KabKota[IDI]) - MIN(KabKota[IDI])) * 100</f>
        <v>88.32492997</v>
      </c>
      <c r="M309" s="9">
        <f t="shared" si="1"/>
        <v>54.95541384</v>
      </c>
      <c r="N309" s="11">
        <f>_xlfn.RANK.EQ(M309,KabKota[Rata-rata Skor])</f>
        <v>308</v>
      </c>
      <c r="O309" s="6">
        <f>COUNTIFS(KabKota[Regional], B309, KabKota[Rata-rata Skor], "&gt;"&amp;M309) + 1</f>
        <v>105</v>
      </c>
    </row>
    <row r="310" ht="22.5" customHeight="1">
      <c r="A310" s="5">
        <v>68.0</v>
      </c>
      <c r="B310" s="5" t="s">
        <v>70</v>
      </c>
      <c r="C310" s="5" t="s">
        <v>34</v>
      </c>
      <c r="D310" s="5" t="s">
        <v>374</v>
      </c>
      <c r="E310" s="7">
        <v>73.69</v>
      </c>
      <c r="F310" s="8">
        <v>0.008</v>
      </c>
      <c r="G310" s="7">
        <f>VLOOKUP(C310,Provinsi[[#ALL],[Daerah]:[IDI]],4,0)</f>
        <v>6.27</v>
      </c>
      <c r="H310" s="9">
        <f>VLOOKUP(C310,Provinsi[[#ALL],[Daerah]:[IDI]],5,0)</f>
        <v>78.83</v>
      </c>
      <c r="I310" s="9">
        <f>(E310 - MIN(KabKota[IPM])) / (MAX(KabKota[IPM]) - MIN(KabKota[IPM])) * 100</f>
        <v>67.76422764</v>
      </c>
      <c r="J310" s="9">
        <f>(F310 - MIN(KabKota[IKF])) / (MAX(KabKota[IKF]) - MIN(KabKota[IKF])) * 100</f>
        <v>1</v>
      </c>
      <c r="K310" s="9">
        <f>(G310 - MIN(KabKota[TIK])) / (MAX(KabKota[TIK]) - MIN(KabKota[TIK])) * 100</f>
        <v>62.73148148</v>
      </c>
      <c r="L310" s="9">
        <f>(H310 - MIN(KabKota[IDI])) / (MAX(KabKota[IDI]) - MIN(KabKota[IDI])) * 100</f>
        <v>88.32492997</v>
      </c>
      <c r="M310" s="9">
        <f t="shared" si="1"/>
        <v>54.95515977</v>
      </c>
      <c r="N310" s="11">
        <f>_xlfn.RANK.EQ(M310,KabKota[Rata-rata Skor])</f>
        <v>309</v>
      </c>
      <c r="O310" s="6">
        <f>COUNTIFS(KabKota[Regional], B310, KabKota[Rata-rata Skor], "&gt;"&amp;M310) + 1</f>
        <v>106</v>
      </c>
    </row>
    <row r="311" ht="22.5" customHeight="1">
      <c r="A311" s="5">
        <v>230.0</v>
      </c>
      <c r="B311" s="5" t="s">
        <v>63</v>
      </c>
      <c r="C311" s="5" t="s">
        <v>23</v>
      </c>
      <c r="D311" s="5" t="s">
        <v>375</v>
      </c>
      <c r="E311" s="7">
        <v>73.39</v>
      </c>
      <c r="F311" s="8">
        <v>0.002</v>
      </c>
      <c r="G311" s="7">
        <f>VLOOKUP(C311,Provinsi[[#ALL],[Daerah]:[IDI]],4,0)</f>
        <v>6.07</v>
      </c>
      <c r="H311" s="9">
        <f>VLOOKUP(C311,Provinsi[[#ALL],[Daerah]:[IDI]],5,0)</f>
        <v>84.17</v>
      </c>
      <c r="I311" s="9">
        <f>(E311 - MIN(KabKota[IPM])) / (MAX(KabKota[IPM]) - MIN(KabKota[IPM])) * 100</f>
        <v>67.15447154</v>
      </c>
      <c r="J311" s="9">
        <f>(F311 - MIN(KabKota[IKF])) / (MAX(KabKota[IKF]) - MIN(KabKota[IKF])) * 100</f>
        <v>0.25</v>
      </c>
      <c r="K311" s="9">
        <f>(G311 - MIN(KabKota[TIK])) / (MAX(KabKota[TIK]) - MIN(KabKota[TIK])) * 100</f>
        <v>58.10185185</v>
      </c>
      <c r="L311" s="9">
        <f>(H311 - MIN(KabKota[IDI])) / (MAX(KabKota[IDI]) - MIN(KabKota[IDI])) * 100</f>
        <v>94.30812325</v>
      </c>
      <c r="M311" s="9">
        <f t="shared" si="1"/>
        <v>54.95361166</v>
      </c>
      <c r="N311" s="11">
        <f>_xlfn.RANK.EQ(M311,KabKota[Rata-rata Skor])</f>
        <v>310</v>
      </c>
      <c r="O311" s="6">
        <f>COUNTIFS(KabKota[Regional], B311, KabKota[Rata-rata Skor], "&gt;"&amp;M311) + 1</f>
        <v>106</v>
      </c>
    </row>
    <row r="312" ht="22.5" customHeight="1">
      <c r="A312" s="5">
        <v>238.0</v>
      </c>
      <c r="B312" s="5" t="s">
        <v>63</v>
      </c>
      <c r="C312" s="5" t="s">
        <v>23</v>
      </c>
      <c r="D312" s="5" t="s">
        <v>376</v>
      </c>
      <c r="E312" s="7">
        <v>71.72</v>
      </c>
      <c r="F312" s="8">
        <v>0.028</v>
      </c>
      <c r="G312" s="7">
        <f>VLOOKUP(C312,Provinsi[[#ALL],[Daerah]:[IDI]],4,0)</f>
        <v>6.07</v>
      </c>
      <c r="H312" s="9">
        <f>VLOOKUP(C312,Provinsi[[#ALL],[Daerah]:[IDI]],5,0)</f>
        <v>84.17</v>
      </c>
      <c r="I312" s="9">
        <f>(E312 - MIN(KabKota[IPM])) / (MAX(KabKota[IPM]) - MIN(KabKota[IPM])) * 100</f>
        <v>63.7601626</v>
      </c>
      <c r="J312" s="9">
        <f>(F312 - MIN(KabKota[IKF])) / (MAX(KabKota[IKF]) - MIN(KabKota[IKF])) * 100</f>
        <v>3.5</v>
      </c>
      <c r="K312" s="9">
        <f>(G312 - MIN(KabKota[TIK])) / (MAX(KabKota[TIK]) - MIN(KabKota[TIK])) * 100</f>
        <v>58.10185185</v>
      </c>
      <c r="L312" s="9">
        <f>(H312 - MIN(KabKota[IDI])) / (MAX(KabKota[IDI]) - MIN(KabKota[IDI])) * 100</f>
        <v>94.30812325</v>
      </c>
      <c r="M312" s="9">
        <f t="shared" si="1"/>
        <v>54.91753443</v>
      </c>
      <c r="N312" s="11">
        <f>_xlfn.RANK.EQ(M312,KabKota[Rata-rata Skor])</f>
        <v>311</v>
      </c>
      <c r="O312" s="6">
        <f>COUNTIFS(KabKota[Regional], B312, KabKota[Rata-rata Skor], "&gt;"&amp;M312) + 1</f>
        <v>107</v>
      </c>
    </row>
    <row r="313" ht="22.5" customHeight="1">
      <c r="A313" s="5">
        <v>323.0</v>
      </c>
      <c r="B313" s="5" t="s">
        <v>77</v>
      </c>
      <c r="C313" s="5" t="s">
        <v>35</v>
      </c>
      <c r="D313" s="5" t="s">
        <v>377</v>
      </c>
      <c r="E313" s="7">
        <v>68.73</v>
      </c>
      <c r="F313" s="8">
        <v>0.089</v>
      </c>
      <c r="G313" s="7">
        <f>VLOOKUP(C313,Provinsi[[#ALL],[Daerah]:[IDI]],4,0)</f>
        <v>5.9</v>
      </c>
      <c r="H313" s="9">
        <f>VLOOKUP(C313,Provinsi[[#ALL],[Daerah]:[IDI]],5,0)</f>
        <v>86.17</v>
      </c>
      <c r="I313" s="9">
        <f>(E313 - MIN(KabKota[IPM])) / (MAX(KabKota[IPM]) - MIN(KabKota[IPM])) * 100</f>
        <v>57.68292683</v>
      </c>
      <c r="J313" s="9">
        <f>(F313 - MIN(KabKota[IKF])) / (MAX(KabKota[IKF]) - MIN(KabKota[IKF])) * 100</f>
        <v>11.125</v>
      </c>
      <c r="K313" s="9">
        <f>(G313 - MIN(KabKota[TIK])) / (MAX(KabKota[TIK]) - MIN(KabKota[TIK])) * 100</f>
        <v>54.16666667</v>
      </c>
      <c r="L313" s="9">
        <f>(H313 - MIN(KabKota[IDI])) / (MAX(KabKota[IDI]) - MIN(KabKota[IDI])) * 100</f>
        <v>96.54901961</v>
      </c>
      <c r="M313" s="9">
        <f t="shared" si="1"/>
        <v>54.88090328</v>
      </c>
      <c r="N313" s="11">
        <f>_xlfn.RANK.EQ(M313,KabKota[Rata-rata Skor])</f>
        <v>312</v>
      </c>
      <c r="O313" s="6">
        <f>COUNTIFS(KabKota[Regional], B313, KabKota[Rata-rata Skor], "&gt;"&amp;M313) + 1</f>
        <v>41</v>
      </c>
    </row>
    <row r="314" ht="22.5" customHeight="1">
      <c r="A314" s="5">
        <v>59.0</v>
      </c>
      <c r="B314" s="5" t="s">
        <v>70</v>
      </c>
      <c r="C314" s="5" t="s">
        <v>34</v>
      </c>
      <c r="D314" s="5" t="s">
        <v>378</v>
      </c>
      <c r="E314" s="7">
        <v>73.73</v>
      </c>
      <c r="F314" s="8">
        <v>0.004</v>
      </c>
      <c r="G314" s="7">
        <f>VLOOKUP(C314,Provinsi[[#ALL],[Daerah]:[IDI]],4,0)</f>
        <v>6.27</v>
      </c>
      <c r="H314" s="9">
        <f>VLOOKUP(C314,Provinsi[[#ALL],[Daerah]:[IDI]],5,0)</f>
        <v>78.83</v>
      </c>
      <c r="I314" s="9">
        <f>(E314 - MIN(KabKota[IPM])) / (MAX(KabKota[IPM]) - MIN(KabKota[IPM])) * 100</f>
        <v>67.84552846</v>
      </c>
      <c r="J314" s="9">
        <f>(F314 - MIN(KabKota[IKF])) / (MAX(KabKota[IKF]) - MIN(KabKota[IKF])) * 100</f>
        <v>0.5</v>
      </c>
      <c r="K314" s="9">
        <f>(G314 - MIN(KabKota[TIK])) / (MAX(KabKota[TIK]) - MIN(KabKota[TIK])) * 100</f>
        <v>62.73148148</v>
      </c>
      <c r="L314" s="9">
        <f>(H314 - MIN(KabKota[IDI])) / (MAX(KabKota[IDI]) - MIN(KabKota[IDI])) * 100</f>
        <v>88.32492997</v>
      </c>
      <c r="M314" s="9">
        <f t="shared" si="1"/>
        <v>54.85048498</v>
      </c>
      <c r="N314" s="11">
        <f>_xlfn.RANK.EQ(M314,KabKota[Rata-rata Skor])</f>
        <v>313</v>
      </c>
      <c r="O314" s="6">
        <f>COUNTIFS(KabKota[Regional], B314, KabKota[Rata-rata Skor], "&gt;"&amp;M314) + 1</f>
        <v>107</v>
      </c>
    </row>
    <row r="315" ht="22.5" customHeight="1">
      <c r="A315" s="5">
        <v>14.0</v>
      </c>
      <c r="B315" s="5" t="s">
        <v>70</v>
      </c>
      <c r="C315" s="5" t="s">
        <v>36</v>
      </c>
      <c r="D315" s="5" t="s">
        <v>379</v>
      </c>
      <c r="E315" s="7">
        <v>74.2</v>
      </c>
      <c r="F315" s="8">
        <v>0.079</v>
      </c>
      <c r="G315" s="7">
        <f>VLOOKUP(C315,Provinsi[[#ALL],[Daerah]:[IDI]],4,0)</f>
        <v>5.97</v>
      </c>
      <c r="H315" s="9">
        <f>VLOOKUP(C315,Provinsi[[#ALL],[Daerah]:[IDI]],5,0)</f>
        <v>75.8</v>
      </c>
      <c r="I315" s="9">
        <f>(E315 - MIN(KabKota[IPM])) / (MAX(KabKota[IPM]) - MIN(KabKota[IPM])) * 100</f>
        <v>68.80081301</v>
      </c>
      <c r="J315" s="9">
        <f>(F315 - MIN(KabKota[IKF])) / (MAX(KabKota[IKF]) - MIN(KabKota[IKF])) * 100</f>
        <v>9.875</v>
      </c>
      <c r="K315" s="9">
        <f>(G315 - MIN(KabKota[TIK])) / (MAX(KabKota[TIK]) - MIN(KabKota[TIK])) * 100</f>
        <v>55.78703704</v>
      </c>
      <c r="L315" s="9">
        <f>(H315 - MIN(KabKota[IDI])) / (MAX(KabKota[IDI]) - MIN(KabKota[IDI])) * 100</f>
        <v>84.92997199</v>
      </c>
      <c r="M315" s="9">
        <f t="shared" si="1"/>
        <v>54.84820551</v>
      </c>
      <c r="N315" s="11">
        <f>_xlfn.RANK.EQ(M315,KabKota[Rata-rata Skor])</f>
        <v>314</v>
      </c>
      <c r="O315" s="6">
        <f>COUNTIFS(KabKota[Regional], B315, KabKota[Rata-rata Skor], "&gt;"&amp;M315) + 1</f>
        <v>108</v>
      </c>
    </row>
    <row r="316" ht="22.5" customHeight="1">
      <c r="A316" s="5">
        <v>329.0</v>
      </c>
      <c r="B316" s="5" t="s">
        <v>77</v>
      </c>
      <c r="C316" s="5" t="s">
        <v>40</v>
      </c>
      <c r="D316" s="5" t="s">
        <v>380</v>
      </c>
      <c r="E316" s="7">
        <v>76.02</v>
      </c>
      <c r="F316" s="8">
        <v>0.016</v>
      </c>
      <c r="G316" s="7">
        <f>VLOOKUP(C316,Provinsi[[#ALL],[Daerah]:[IDI]],4,0)</f>
        <v>6.02</v>
      </c>
      <c r="H316" s="9">
        <f>VLOOKUP(C316,Provinsi[[#ALL],[Daerah]:[IDI]],5,0)</f>
        <v>78.47</v>
      </c>
      <c r="I316" s="9">
        <f>(E316 - MIN(KabKota[IPM])) / (MAX(KabKota[IPM]) - MIN(KabKota[IPM])) * 100</f>
        <v>72.5</v>
      </c>
      <c r="J316" s="9">
        <f>(F316 - MIN(KabKota[IKF])) / (MAX(KabKota[IKF]) - MIN(KabKota[IKF])) * 100</f>
        <v>2</v>
      </c>
      <c r="K316" s="9">
        <f>(G316 - MIN(KabKota[TIK])) / (MAX(KabKota[TIK]) - MIN(KabKota[TIK])) * 100</f>
        <v>56.94444444</v>
      </c>
      <c r="L316" s="9">
        <f>(H316 - MIN(KabKota[IDI])) / (MAX(KabKota[IDI]) - MIN(KabKota[IDI])) * 100</f>
        <v>87.92156863</v>
      </c>
      <c r="M316" s="9">
        <f t="shared" si="1"/>
        <v>54.84150327</v>
      </c>
      <c r="N316" s="11">
        <f>_xlfn.RANK.EQ(M316,KabKota[Rata-rata Skor])</f>
        <v>315</v>
      </c>
      <c r="O316" s="6">
        <f>COUNTIFS(KabKota[Regional], B316, KabKota[Rata-rata Skor], "&gt;"&amp;M316) + 1</f>
        <v>42</v>
      </c>
    </row>
    <row r="317" ht="22.5" customHeight="1">
      <c r="A317" s="5">
        <v>57.0</v>
      </c>
      <c r="B317" s="5" t="s">
        <v>70</v>
      </c>
      <c r="C317" s="5" t="s">
        <v>34</v>
      </c>
      <c r="D317" s="5" t="s">
        <v>381</v>
      </c>
      <c r="E317" s="7">
        <v>73.72</v>
      </c>
      <c r="F317" s="8">
        <v>0.003</v>
      </c>
      <c r="G317" s="7">
        <f>VLOOKUP(C317,Provinsi[[#ALL],[Daerah]:[IDI]],4,0)</f>
        <v>6.27</v>
      </c>
      <c r="H317" s="9">
        <f>VLOOKUP(C317,Provinsi[[#ALL],[Daerah]:[IDI]],5,0)</f>
        <v>78.83</v>
      </c>
      <c r="I317" s="9">
        <f>(E317 - MIN(KabKota[IPM])) / (MAX(KabKota[IPM]) - MIN(KabKota[IPM])) * 100</f>
        <v>67.82520325</v>
      </c>
      <c r="J317" s="9">
        <f>(F317 - MIN(KabKota[IKF])) / (MAX(KabKota[IKF]) - MIN(KabKota[IKF])) * 100</f>
        <v>0.375</v>
      </c>
      <c r="K317" s="9">
        <f>(G317 - MIN(KabKota[TIK])) / (MAX(KabKota[TIK]) - MIN(KabKota[TIK])) * 100</f>
        <v>62.73148148</v>
      </c>
      <c r="L317" s="9">
        <f>(H317 - MIN(KabKota[IDI])) / (MAX(KabKota[IDI]) - MIN(KabKota[IDI])) * 100</f>
        <v>88.32492997</v>
      </c>
      <c r="M317" s="9">
        <f t="shared" si="1"/>
        <v>54.81415368</v>
      </c>
      <c r="N317" s="11">
        <f>_xlfn.RANK.EQ(M317,KabKota[Rata-rata Skor])</f>
        <v>316</v>
      </c>
      <c r="O317" s="6">
        <f>COUNTIFS(KabKota[Regional], B317, KabKota[Rata-rata Skor], "&gt;"&amp;M317) + 1</f>
        <v>109</v>
      </c>
    </row>
    <row r="318" ht="22.5" customHeight="1">
      <c r="A318" s="5">
        <v>403.0</v>
      </c>
      <c r="B318" s="5" t="s">
        <v>75</v>
      </c>
      <c r="C318" s="5" t="s">
        <v>32</v>
      </c>
      <c r="D318" s="5" t="s">
        <v>382</v>
      </c>
      <c r="E318" s="7">
        <v>72.79</v>
      </c>
      <c r="F318" s="8">
        <v>0.028</v>
      </c>
      <c r="G318" s="7">
        <f>VLOOKUP(C318,Provinsi[[#ALL],[Daerah]:[IDI]],4,0)</f>
        <v>6.21</v>
      </c>
      <c r="H318" s="9">
        <f>VLOOKUP(C318,Provinsi[[#ALL],[Daerah]:[IDI]],5,0)</f>
        <v>78.93</v>
      </c>
      <c r="I318" s="9">
        <f>(E318 - MIN(KabKota[IPM])) / (MAX(KabKota[IPM]) - MIN(KabKota[IPM])) * 100</f>
        <v>65.93495935</v>
      </c>
      <c r="J318" s="9">
        <f>(F318 - MIN(KabKota[IKF])) / (MAX(KabKota[IKF]) - MIN(KabKota[IKF])) * 100</f>
        <v>3.5</v>
      </c>
      <c r="K318" s="9">
        <f>(G318 - MIN(KabKota[TIK])) / (MAX(KabKota[TIK]) - MIN(KabKota[TIK])) * 100</f>
        <v>61.34259259</v>
      </c>
      <c r="L318" s="9">
        <f>(H318 - MIN(KabKota[IDI])) / (MAX(KabKota[IDI]) - MIN(KabKota[IDI])) * 100</f>
        <v>88.43697479</v>
      </c>
      <c r="M318" s="9">
        <f t="shared" si="1"/>
        <v>54.80363168</v>
      </c>
      <c r="N318" s="11">
        <f>_xlfn.RANK.EQ(M318,KabKota[Rata-rata Skor])</f>
        <v>317</v>
      </c>
      <c r="O318" s="6">
        <f>COUNTIFS(KabKota[Regional], B318, KabKota[Rata-rata Skor], "&gt;"&amp;M318) + 1</f>
        <v>39</v>
      </c>
    </row>
    <row r="319" ht="22.5" customHeight="1">
      <c r="A319" s="5">
        <v>81.0</v>
      </c>
      <c r="B319" s="5" t="s">
        <v>70</v>
      </c>
      <c r="C319" s="5" t="s">
        <v>33</v>
      </c>
      <c r="D319" s="5" t="s">
        <v>383</v>
      </c>
      <c r="E319" s="7">
        <v>73.61</v>
      </c>
      <c r="F319" s="8">
        <v>0.02</v>
      </c>
      <c r="G319" s="7">
        <f>VLOOKUP(C319,Provinsi[[#ALL],[Daerah]:[IDI]],4,0)</f>
        <v>6.27</v>
      </c>
      <c r="H319" s="9">
        <f>VLOOKUP(C319,Provinsi[[#ALL],[Daerah]:[IDI]],5,0)</f>
        <v>77.06</v>
      </c>
      <c r="I319" s="9">
        <f>(E319 - MIN(KabKota[IPM])) / (MAX(KabKota[IPM]) - MIN(KabKota[IPM])) * 100</f>
        <v>67.60162602</v>
      </c>
      <c r="J319" s="9">
        <f>(F319 - MIN(KabKota[IKF])) / (MAX(KabKota[IKF]) - MIN(KabKota[IKF])) * 100</f>
        <v>2.5</v>
      </c>
      <c r="K319" s="9">
        <f>(G319 - MIN(KabKota[TIK])) / (MAX(KabKota[TIK]) - MIN(KabKota[TIK])) * 100</f>
        <v>62.73148148</v>
      </c>
      <c r="L319" s="9">
        <f>(H319 - MIN(KabKota[IDI])) / (MAX(KabKota[IDI]) - MIN(KabKota[IDI])) * 100</f>
        <v>86.34173669</v>
      </c>
      <c r="M319" s="9">
        <f t="shared" si="1"/>
        <v>54.79371105</v>
      </c>
      <c r="N319" s="11">
        <f>_xlfn.RANK.EQ(M319,KabKota[Rata-rata Skor])</f>
        <v>318</v>
      </c>
      <c r="O319" s="6">
        <f>COUNTIFS(KabKota[Regional], B319, KabKota[Rata-rata Skor], "&gt;"&amp;M319) + 1</f>
        <v>110</v>
      </c>
    </row>
    <row r="320" ht="22.5" customHeight="1">
      <c r="A320" s="5">
        <v>122.0</v>
      </c>
      <c r="B320" s="5" t="s">
        <v>70</v>
      </c>
      <c r="C320" s="5" t="s">
        <v>39</v>
      </c>
      <c r="D320" s="5" t="s">
        <v>384</v>
      </c>
      <c r="E320" s="7">
        <v>74.1</v>
      </c>
      <c r="F320" s="8">
        <v>0.003</v>
      </c>
      <c r="G320" s="7">
        <f>VLOOKUP(C320,Provinsi[[#ALL],[Daerah]:[IDI]],4,0)</f>
        <v>6.19</v>
      </c>
      <c r="H320" s="9">
        <f>VLOOKUP(C320,Provinsi[[#ALL],[Daerah]:[IDI]],5,0)</f>
        <v>79.66</v>
      </c>
      <c r="I320" s="9">
        <f>(E320 - MIN(KabKota[IPM])) / (MAX(KabKota[IPM]) - MIN(KabKota[IPM])) * 100</f>
        <v>68.59756098</v>
      </c>
      <c r="J320" s="9">
        <f>(F320 - MIN(KabKota[IKF])) / (MAX(KabKota[IKF]) - MIN(KabKota[IKF])) * 100</f>
        <v>0.375</v>
      </c>
      <c r="K320" s="9">
        <f>(G320 - MIN(KabKota[TIK])) / (MAX(KabKota[TIK]) - MIN(KabKota[TIK])) * 100</f>
        <v>60.87962963</v>
      </c>
      <c r="L320" s="9">
        <f>(H320 - MIN(KabKota[IDI])) / (MAX(KabKota[IDI]) - MIN(KabKota[IDI])) * 100</f>
        <v>89.25490196</v>
      </c>
      <c r="M320" s="9">
        <f t="shared" si="1"/>
        <v>54.77677314</v>
      </c>
      <c r="N320" s="11">
        <f>_xlfn.RANK.EQ(M320,KabKota[Rata-rata Skor])</f>
        <v>319</v>
      </c>
      <c r="O320" s="6">
        <f>COUNTIFS(KabKota[Regional], B320, KabKota[Rata-rata Skor], "&gt;"&amp;M320) + 1</f>
        <v>111</v>
      </c>
    </row>
    <row r="321" ht="22.5" customHeight="1">
      <c r="A321" s="5">
        <v>315.0</v>
      </c>
      <c r="B321" s="5" t="s">
        <v>77</v>
      </c>
      <c r="C321" s="5" t="s">
        <v>35</v>
      </c>
      <c r="D321" s="5" t="s">
        <v>385</v>
      </c>
      <c r="E321" s="7">
        <v>72.08</v>
      </c>
      <c r="F321" s="8">
        <v>0.031</v>
      </c>
      <c r="G321" s="7">
        <f>VLOOKUP(C321,Provinsi[[#ALL],[Daerah]:[IDI]],4,0)</f>
        <v>5.9</v>
      </c>
      <c r="H321" s="9">
        <f>VLOOKUP(C321,Provinsi[[#ALL],[Daerah]:[IDI]],5,0)</f>
        <v>86.17</v>
      </c>
      <c r="I321" s="9">
        <f>(E321 - MIN(KabKota[IPM])) / (MAX(KabKota[IPM]) - MIN(KabKota[IPM])) * 100</f>
        <v>64.49186992</v>
      </c>
      <c r="J321" s="9">
        <f>(F321 - MIN(KabKota[IKF])) / (MAX(KabKota[IKF]) - MIN(KabKota[IKF])) * 100</f>
        <v>3.875</v>
      </c>
      <c r="K321" s="9">
        <f>(G321 - MIN(KabKota[TIK])) / (MAX(KabKota[TIK]) - MIN(KabKota[TIK])) * 100</f>
        <v>54.16666667</v>
      </c>
      <c r="L321" s="9">
        <f>(H321 - MIN(KabKota[IDI])) / (MAX(KabKota[IDI]) - MIN(KabKota[IDI])) * 100</f>
        <v>96.54901961</v>
      </c>
      <c r="M321" s="9">
        <f t="shared" si="1"/>
        <v>54.77063905</v>
      </c>
      <c r="N321" s="11">
        <f>_xlfn.RANK.EQ(M321,KabKota[Rata-rata Skor])</f>
        <v>320</v>
      </c>
      <c r="O321" s="6">
        <f>COUNTIFS(KabKota[Regional], B321, KabKota[Rata-rata Skor], "&gt;"&amp;M321) + 1</f>
        <v>43</v>
      </c>
    </row>
    <row r="322" ht="22.5" customHeight="1">
      <c r="A322" s="5">
        <v>339.0</v>
      </c>
      <c r="B322" s="5" t="s">
        <v>77</v>
      </c>
      <c r="C322" s="5" t="s">
        <v>40</v>
      </c>
      <c r="D322" s="5" t="s">
        <v>386</v>
      </c>
      <c r="E322" s="7">
        <v>72.99</v>
      </c>
      <c r="F322" s="8">
        <v>0.063</v>
      </c>
      <c r="G322" s="7">
        <f>VLOOKUP(C322,Provinsi[[#ALL],[Daerah]:[IDI]],4,0)</f>
        <v>6.02</v>
      </c>
      <c r="H322" s="9">
        <f>VLOOKUP(C322,Provinsi[[#ALL],[Daerah]:[IDI]],5,0)</f>
        <v>78.47</v>
      </c>
      <c r="I322" s="9">
        <f>(E322 - MIN(KabKota[IPM])) / (MAX(KabKota[IPM]) - MIN(KabKota[IPM])) * 100</f>
        <v>66.34146341</v>
      </c>
      <c r="J322" s="9">
        <f>(F322 - MIN(KabKota[IKF])) / (MAX(KabKota[IKF]) - MIN(KabKota[IKF])) * 100</f>
        <v>7.875</v>
      </c>
      <c r="K322" s="9">
        <f>(G322 - MIN(KabKota[TIK])) / (MAX(KabKota[TIK]) - MIN(KabKota[TIK])) * 100</f>
        <v>56.94444444</v>
      </c>
      <c r="L322" s="9">
        <f>(H322 - MIN(KabKota[IDI])) / (MAX(KabKota[IDI]) - MIN(KabKota[IDI])) * 100</f>
        <v>87.92156863</v>
      </c>
      <c r="M322" s="9">
        <f t="shared" si="1"/>
        <v>54.77061912</v>
      </c>
      <c r="N322" s="11">
        <f>_xlfn.RANK.EQ(M322,KabKota[Rata-rata Skor])</f>
        <v>321</v>
      </c>
      <c r="O322" s="6">
        <f>COUNTIFS(KabKota[Regional], B322, KabKota[Rata-rata Skor], "&gt;"&amp;M322) + 1</f>
        <v>44</v>
      </c>
    </row>
    <row r="323" ht="22.5" customHeight="1">
      <c r="A323" s="5">
        <v>381.0</v>
      </c>
      <c r="B323" s="5" t="s">
        <v>75</v>
      </c>
      <c r="C323" s="5" t="s">
        <v>37</v>
      </c>
      <c r="D323" s="5" t="s">
        <v>387</v>
      </c>
      <c r="E323" s="7">
        <v>70.54</v>
      </c>
      <c r="F323" s="8">
        <v>0.07</v>
      </c>
      <c r="G323" s="7">
        <f>VLOOKUP(C323,Provinsi[[#ALL],[Daerah]:[IDI]],4,0)</f>
        <v>6.03</v>
      </c>
      <c r="H323" s="9">
        <f>VLOOKUP(C323,Provinsi[[#ALL],[Daerah]:[IDI]],5,0)</f>
        <v>81.87</v>
      </c>
      <c r="I323" s="9">
        <f>(E323 - MIN(KabKota[IPM])) / (MAX(KabKota[IPM]) - MIN(KabKota[IPM])) * 100</f>
        <v>61.36178862</v>
      </c>
      <c r="J323" s="9">
        <f>(F323 - MIN(KabKota[IKF])) / (MAX(KabKota[IKF]) - MIN(KabKota[IKF])) * 100</f>
        <v>8.75</v>
      </c>
      <c r="K323" s="9">
        <f>(G323 - MIN(KabKota[TIK])) / (MAX(KabKota[TIK]) - MIN(KabKota[TIK])) * 100</f>
        <v>57.17592593</v>
      </c>
      <c r="L323" s="9">
        <f>(H323 - MIN(KabKota[IDI])) / (MAX(KabKota[IDI]) - MIN(KabKota[IDI])) * 100</f>
        <v>91.73109244</v>
      </c>
      <c r="M323" s="9">
        <f t="shared" si="1"/>
        <v>54.75470175</v>
      </c>
      <c r="N323" s="11">
        <f>_xlfn.RANK.EQ(M323,KabKota[Rata-rata Skor])</f>
        <v>322</v>
      </c>
      <c r="O323" s="6">
        <f>COUNTIFS(KabKota[Regional], B323, KabKota[Rata-rata Skor], "&gt;"&amp;M323) + 1</f>
        <v>40</v>
      </c>
    </row>
    <row r="324" ht="22.5" customHeight="1">
      <c r="A324" s="5">
        <v>8.0</v>
      </c>
      <c r="B324" s="5" t="s">
        <v>70</v>
      </c>
      <c r="C324" s="5" t="s">
        <v>36</v>
      </c>
      <c r="D324" s="5" t="s">
        <v>388</v>
      </c>
      <c r="E324" s="7">
        <v>74.29</v>
      </c>
      <c r="F324" s="8">
        <v>0.073</v>
      </c>
      <c r="G324" s="7">
        <f>VLOOKUP(C324,Provinsi[[#ALL],[Daerah]:[IDI]],4,0)</f>
        <v>5.97</v>
      </c>
      <c r="H324" s="9">
        <f>VLOOKUP(C324,Provinsi[[#ALL],[Daerah]:[IDI]],5,0)</f>
        <v>75.8</v>
      </c>
      <c r="I324" s="9">
        <f>(E324 - MIN(KabKota[IPM])) / (MAX(KabKota[IPM]) - MIN(KabKota[IPM])) * 100</f>
        <v>68.98373984</v>
      </c>
      <c r="J324" s="9">
        <f>(F324 - MIN(KabKota[IKF])) / (MAX(KabKota[IKF]) - MIN(KabKota[IKF])) * 100</f>
        <v>9.125</v>
      </c>
      <c r="K324" s="9">
        <f>(G324 - MIN(KabKota[TIK])) / (MAX(KabKota[TIK]) - MIN(KabKota[TIK])) * 100</f>
        <v>55.78703704</v>
      </c>
      <c r="L324" s="9">
        <f>(H324 - MIN(KabKota[IDI])) / (MAX(KabKota[IDI]) - MIN(KabKota[IDI])) * 100</f>
        <v>84.92997199</v>
      </c>
      <c r="M324" s="9">
        <f t="shared" si="1"/>
        <v>54.70643722</v>
      </c>
      <c r="N324" s="11">
        <f>_xlfn.RANK.EQ(M324,KabKota[Rata-rata Skor])</f>
        <v>323</v>
      </c>
      <c r="O324" s="6">
        <f>COUNTIFS(KabKota[Regional], B324, KabKota[Rata-rata Skor], "&gt;"&amp;M324) + 1</f>
        <v>112</v>
      </c>
    </row>
    <row r="325" ht="22.5" customHeight="1">
      <c r="A325" s="5">
        <v>63.0</v>
      </c>
      <c r="B325" s="5" t="s">
        <v>70</v>
      </c>
      <c r="C325" s="5" t="s">
        <v>34</v>
      </c>
      <c r="D325" s="5" t="s">
        <v>389</v>
      </c>
      <c r="E325" s="7">
        <v>73.43</v>
      </c>
      <c r="F325" s="8">
        <v>0.004</v>
      </c>
      <c r="G325" s="7">
        <f>VLOOKUP(C325,Provinsi[[#ALL],[Daerah]:[IDI]],4,0)</f>
        <v>6.27</v>
      </c>
      <c r="H325" s="9">
        <f>VLOOKUP(C325,Provinsi[[#ALL],[Daerah]:[IDI]],5,0)</f>
        <v>78.83</v>
      </c>
      <c r="I325" s="9">
        <f>(E325 - MIN(KabKota[IPM])) / (MAX(KabKota[IPM]) - MIN(KabKota[IPM])) * 100</f>
        <v>67.23577236</v>
      </c>
      <c r="J325" s="9">
        <f>(F325 - MIN(KabKota[IKF])) / (MAX(KabKota[IKF]) - MIN(KabKota[IKF])) * 100</f>
        <v>0.5</v>
      </c>
      <c r="K325" s="9">
        <f>(G325 - MIN(KabKota[TIK])) / (MAX(KabKota[TIK]) - MIN(KabKota[TIK])) * 100</f>
        <v>62.73148148</v>
      </c>
      <c r="L325" s="9">
        <f>(H325 - MIN(KabKota[IDI])) / (MAX(KabKota[IDI]) - MIN(KabKota[IDI])) * 100</f>
        <v>88.32492997</v>
      </c>
      <c r="M325" s="9">
        <f t="shared" si="1"/>
        <v>54.69804595</v>
      </c>
      <c r="N325" s="11">
        <f>_xlfn.RANK.EQ(M325,KabKota[Rata-rata Skor])</f>
        <v>324</v>
      </c>
      <c r="O325" s="6">
        <f>COUNTIFS(KabKota[Regional], B325, KabKota[Rata-rata Skor], "&gt;"&amp;M325) + 1</f>
        <v>113</v>
      </c>
    </row>
    <row r="326" ht="22.5" customHeight="1">
      <c r="A326" s="5">
        <v>194.0</v>
      </c>
      <c r="B326" s="5" t="s">
        <v>63</v>
      </c>
      <c r="C326" s="5" t="s">
        <v>30</v>
      </c>
      <c r="D326" s="5" t="s">
        <v>390</v>
      </c>
      <c r="E326" s="7">
        <v>71.5</v>
      </c>
      <c r="F326" s="8">
        <v>0.026</v>
      </c>
      <c r="G326" s="7">
        <f>VLOOKUP(C326,Provinsi[[#ALL],[Daerah]:[IDI]],4,0)</f>
        <v>5.98</v>
      </c>
      <c r="H326" s="9">
        <f>VLOOKUP(C326,Provinsi[[#ALL],[Daerah]:[IDI]],5,0)</f>
        <v>85.84</v>
      </c>
      <c r="I326" s="9">
        <f>(E326 - MIN(KabKota[IPM])) / (MAX(KabKota[IPM]) - MIN(KabKota[IPM])) * 100</f>
        <v>63.31300813</v>
      </c>
      <c r="J326" s="9">
        <f>(F326 - MIN(KabKota[IKF])) / (MAX(KabKota[IKF]) - MIN(KabKota[IKF])) * 100</f>
        <v>3.25</v>
      </c>
      <c r="K326" s="9">
        <f>(G326 - MIN(KabKota[TIK])) / (MAX(KabKota[TIK]) - MIN(KabKota[TIK])) * 100</f>
        <v>56.01851852</v>
      </c>
      <c r="L326" s="9">
        <f>(H326 - MIN(KabKota[IDI])) / (MAX(KabKota[IDI]) - MIN(KabKota[IDI])) * 100</f>
        <v>96.17927171</v>
      </c>
      <c r="M326" s="9">
        <f t="shared" si="1"/>
        <v>54.69019959</v>
      </c>
      <c r="N326" s="11">
        <f>_xlfn.RANK.EQ(M326,KabKota[Rata-rata Skor])</f>
        <v>325</v>
      </c>
      <c r="O326" s="6">
        <f>COUNTIFS(KabKota[Regional], B326, KabKota[Rata-rata Skor], "&gt;"&amp;M326) + 1</f>
        <v>108</v>
      </c>
    </row>
    <row r="327" ht="22.5" customHeight="1">
      <c r="A327" s="5">
        <v>15.0</v>
      </c>
      <c r="B327" s="5" t="s">
        <v>70</v>
      </c>
      <c r="C327" s="5" t="s">
        <v>36</v>
      </c>
      <c r="D327" s="5" t="s">
        <v>391</v>
      </c>
      <c r="E327" s="7">
        <v>73.87</v>
      </c>
      <c r="F327" s="8">
        <v>0.079</v>
      </c>
      <c r="G327" s="7">
        <f>VLOOKUP(C327,Provinsi[[#ALL],[Daerah]:[IDI]],4,0)</f>
        <v>5.97</v>
      </c>
      <c r="H327" s="9">
        <f>VLOOKUP(C327,Provinsi[[#ALL],[Daerah]:[IDI]],5,0)</f>
        <v>75.8</v>
      </c>
      <c r="I327" s="9">
        <f>(E327 - MIN(KabKota[IPM])) / (MAX(KabKota[IPM]) - MIN(KabKota[IPM])) * 100</f>
        <v>68.1300813</v>
      </c>
      <c r="J327" s="9">
        <f>(F327 - MIN(KabKota[IKF])) / (MAX(KabKota[IKF]) - MIN(KabKota[IKF])) * 100</f>
        <v>9.875</v>
      </c>
      <c r="K327" s="9">
        <f>(G327 - MIN(KabKota[TIK])) / (MAX(KabKota[TIK]) - MIN(KabKota[TIK])) * 100</f>
        <v>55.78703704</v>
      </c>
      <c r="L327" s="9">
        <f>(H327 - MIN(KabKota[IDI])) / (MAX(KabKota[IDI]) - MIN(KabKota[IDI])) * 100</f>
        <v>84.92997199</v>
      </c>
      <c r="M327" s="9">
        <f t="shared" si="1"/>
        <v>54.68052258</v>
      </c>
      <c r="N327" s="11">
        <f>_xlfn.RANK.EQ(M327,KabKota[Rata-rata Skor])</f>
        <v>326</v>
      </c>
      <c r="O327" s="6">
        <f>COUNTIFS(KabKota[Regional], B327, KabKota[Rata-rata Skor], "&gt;"&amp;M327) + 1</f>
        <v>114</v>
      </c>
    </row>
    <row r="328" ht="22.5" customHeight="1">
      <c r="A328" s="5">
        <v>389.0</v>
      </c>
      <c r="B328" s="5" t="s">
        <v>75</v>
      </c>
      <c r="C328" s="5" t="s">
        <v>47</v>
      </c>
      <c r="D328" s="5" t="s">
        <v>392</v>
      </c>
      <c r="E328" s="7">
        <v>71.09</v>
      </c>
      <c r="F328" s="8">
        <v>0.099</v>
      </c>
      <c r="G328" s="7">
        <f>VLOOKUP(C328,Provinsi[[#ALL],[Daerah]:[IDI]],4,0)</f>
        <v>5.93</v>
      </c>
      <c r="H328" s="9">
        <f>VLOOKUP(C328,Provinsi[[#ALL],[Daerah]:[IDI]],5,0)</f>
        <v>79.35</v>
      </c>
      <c r="I328" s="9">
        <f>(E328 - MIN(KabKota[IPM])) / (MAX(KabKota[IPM]) - MIN(KabKota[IPM])) * 100</f>
        <v>62.4796748</v>
      </c>
      <c r="J328" s="9">
        <f>(F328 - MIN(KabKota[IKF])) / (MAX(KabKota[IKF]) - MIN(KabKota[IKF])) * 100</f>
        <v>12.375</v>
      </c>
      <c r="K328" s="9">
        <f>(G328 - MIN(KabKota[TIK])) / (MAX(KabKota[TIK]) - MIN(KabKota[TIK])) * 100</f>
        <v>54.86111111</v>
      </c>
      <c r="L328" s="9">
        <f>(H328 - MIN(KabKota[IDI])) / (MAX(KabKota[IDI]) - MIN(KabKota[IDI])) * 100</f>
        <v>88.90756303</v>
      </c>
      <c r="M328" s="9">
        <f t="shared" si="1"/>
        <v>54.65583723</v>
      </c>
      <c r="N328" s="11">
        <f>_xlfn.RANK.EQ(M328,KabKota[Rata-rata Skor])</f>
        <v>327</v>
      </c>
      <c r="O328" s="6">
        <f>COUNTIFS(KabKota[Regional], B328, KabKota[Rata-rata Skor], "&gt;"&amp;M328) + 1</f>
        <v>41</v>
      </c>
    </row>
    <row r="329" ht="22.5" customHeight="1">
      <c r="A329" s="5">
        <v>213.0</v>
      </c>
      <c r="B329" s="5" t="s">
        <v>63</v>
      </c>
      <c r="C329" s="5" t="s">
        <v>30</v>
      </c>
      <c r="D329" s="5" t="s">
        <v>393</v>
      </c>
      <c r="E329" s="7">
        <v>72.71</v>
      </c>
      <c r="F329" s="8">
        <v>0.005</v>
      </c>
      <c r="G329" s="7">
        <f>VLOOKUP(C329,Provinsi[[#ALL],[Daerah]:[IDI]],4,0)</f>
        <v>5.98</v>
      </c>
      <c r="H329" s="9">
        <f>VLOOKUP(C329,Provinsi[[#ALL],[Daerah]:[IDI]],5,0)</f>
        <v>85.84</v>
      </c>
      <c r="I329" s="9">
        <f>(E329 - MIN(KabKota[IPM])) / (MAX(KabKota[IPM]) - MIN(KabKota[IPM])) * 100</f>
        <v>65.77235772</v>
      </c>
      <c r="J329" s="9">
        <f>(F329 - MIN(KabKota[IKF])) / (MAX(KabKota[IKF]) - MIN(KabKota[IKF])) * 100</f>
        <v>0.625</v>
      </c>
      <c r="K329" s="9">
        <f>(G329 - MIN(KabKota[TIK])) / (MAX(KabKota[TIK]) - MIN(KabKota[TIK])) * 100</f>
        <v>56.01851852</v>
      </c>
      <c r="L329" s="9">
        <f>(H329 - MIN(KabKota[IDI])) / (MAX(KabKota[IDI]) - MIN(KabKota[IDI])) * 100</f>
        <v>96.17927171</v>
      </c>
      <c r="M329" s="9">
        <f t="shared" si="1"/>
        <v>54.64878699</v>
      </c>
      <c r="N329" s="11">
        <f>_xlfn.RANK.EQ(M329,KabKota[Rata-rata Skor])</f>
        <v>328</v>
      </c>
      <c r="O329" s="6">
        <f>COUNTIFS(KabKota[Regional], B329, KabKota[Rata-rata Skor], "&gt;"&amp;M329) + 1</f>
        <v>109</v>
      </c>
    </row>
    <row r="330" ht="22.5" customHeight="1">
      <c r="A330" s="5">
        <v>105.0</v>
      </c>
      <c r="B330" s="5" t="s">
        <v>70</v>
      </c>
      <c r="C330" s="5" t="s">
        <v>29</v>
      </c>
      <c r="D330" s="5" t="s">
        <v>394</v>
      </c>
      <c r="E330" s="7">
        <v>72.42</v>
      </c>
      <c r="F330" s="8">
        <v>0.039</v>
      </c>
      <c r="G330" s="7">
        <f>VLOOKUP(C330,Provinsi[[#ALL],[Daerah]:[IDI]],4,0)</f>
        <v>5.97</v>
      </c>
      <c r="H330" s="9">
        <f>VLOOKUP(C330,Provinsi[[#ALL],[Daerah]:[IDI]],5,0)</f>
        <v>82.71</v>
      </c>
      <c r="I330" s="9">
        <f>(E330 - MIN(KabKota[IPM])) / (MAX(KabKota[IPM]) - MIN(KabKota[IPM])) * 100</f>
        <v>65.18292683</v>
      </c>
      <c r="J330" s="9">
        <f>(F330 - MIN(KabKota[IKF])) / (MAX(KabKota[IKF]) - MIN(KabKota[IKF])) * 100</f>
        <v>4.875</v>
      </c>
      <c r="K330" s="9">
        <f>(G330 - MIN(KabKota[TIK])) / (MAX(KabKota[TIK]) - MIN(KabKota[TIK])) * 100</f>
        <v>55.78703704</v>
      </c>
      <c r="L330" s="9">
        <f>(H330 - MIN(KabKota[IDI])) / (MAX(KabKota[IDI]) - MIN(KabKota[IDI])) * 100</f>
        <v>92.67226891</v>
      </c>
      <c r="M330" s="9">
        <f t="shared" si="1"/>
        <v>54.62930819</v>
      </c>
      <c r="N330" s="11">
        <f>_xlfn.RANK.EQ(M330,KabKota[Rata-rata Skor])</f>
        <v>329</v>
      </c>
      <c r="O330" s="6">
        <f>COUNTIFS(KabKota[Regional], B330, KabKota[Rata-rata Skor], "&gt;"&amp;M330) + 1</f>
        <v>115</v>
      </c>
    </row>
    <row r="331" ht="22.5" customHeight="1">
      <c r="A331" s="5">
        <v>377.0</v>
      </c>
      <c r="B331" s="5" t="s">
        <v>75</v>
      </c>
      <c r="C331" s="5" t="s">
        <v>37</v>
      </c>
      <c r="D331" s="5" t="s">
        <v>395</v>
      </c>
      <c r="E331" s="7">
        <v>74.28</v>
      </c>
      <c r="F331" s="8">
        <v>0.005</v>
      </c>
      <c r="G331" s="7">
        <f>VLOOKUP(C331,Provinsi[[#ALL],[Daerah]:[IDI]],4,0)</f>
        <v>6.03</v>
      </c>
      <c r="H331" s="9">
        <f>VLOOKUP(C331,Provinsi[[#ALL],[Daerah]:[IDI]],5,0)</f>
        <v>81.87</v>
      </c>
      <c r="I331" s="9">
        <f>(E331 - MIN(KabKota[IPM])) / (MAX(KabKota[IPM]) - MIN(KabKota[IPM])) * 100</f>
        <v>68.96341463</v>
      </c>
      <c r="J331" s="9">
        <f>(F331 - MIN(KabKota[IKF])) / (MAX(KabKota[IKF]) - MIN(KabKota[IKF])) * 100</f>
        <v>0.625</v>
      </c>
      <c r="K331" s="9">
        <f>(G331 - MIN(KabKota[TIK])) / (MAX(KabKota[TIK]) - MIN(KabKota[TIK])) * 100</f>
        <v>57.17592593</v>
      </c>
      <c r="L331" s="9">
        <f>(H331 - MIN(KabKota[IDI])) / (MAX(KabKota[IDI]) - MIN(KabKota[IDI])) * 100</f>
        <v>91.73109244</v>
      </c>
      <c r="M331" s="9">
        <f t="shared" si="1"/>
        <v>54.62385825</v>
      </c>
      <c r="N331" s="11">
        <f>_xlfn.RANK.EQ(M331,KabKota[Rata-rata Skor])</f>
        <v>330</v>
      </c>
      <c r="O331" s="6">
        <f>COUNTIFS(KabKota[Regional], B331, KabKota[Rata-rata Skor], "&gt;"&amp;M331) + 1</f>
        <v>42</v>
      </c>
    </row>
    <row r="332" ht="22.5" customHeight="1">
      <c r="A332" s="5">
        <v>344.0</v>
      </c>
      <c r="B332" s="5" t="s">
        <v>77</v>
      </c>
      <c r="C332" s="5" t="s">
        <v>41</v>
      </c>
      <c r="D332" s="5" t="s">
        <v>396</v>
      </c>
      <c r="E332" s="7">
        <v>73.03</v>
      </c>
      <c r="F332" s="8">
        <v>0.006</v>
      </c>
      <c r="G332" s="7">
        <f>VLOOKUP(C332,Provinsi[[#ALL],[Daerah]:[IDI]],4,0)</f>
        <v>6.13</v>
      </c>
      <c r="H332" s="9">
        <f>VLOOKUP(C332,Provinsi[[#ALL],[Daerah]:[IDI]],5,0)</f>
        <v>81.91</v>
      </c>
      <c r="I332" s="9">
        <f>(E332 - MIN(KabKota[IPM])) / (MAX(KabKota[IPM]) - MIN(KabKota[IPM])) * 100</f>
        <v>66.42276423</v>
      </c>
      <c r="J332" s="9">
        <f>(F332 - MIN(KabKota[IKF])) / (MAX(KabKota[IKF]) - MIN(KabKota[IKF])) * 100</f>
        <v>0.75</v>
      </c>
      <c r="K332" s="9">
        <f>(G332 - MIN(KabKota[TIK])) / (MAX(KabKota[TIK]) - MIN(KabKota[TIK])) * 100</f>
        <v>59.49074074</v>
      </c>
      <c r="L332" s="9">
        <f>(H332 - MIN(KabKota[IDI])) / (MAX(KabKota[IDI]) - MIN(KabKota[IDI])) * 100</f>
        <v>91.77591036</v>
      </c>
      <c r="M332" s="9">
        <f t="shared" si="1"/>
        <v>54.60985383</v>
      </c>
      <c r="N332" s="11">
        <f>_xlfn.RANK.EQ(M332,KabKota[Rata-rata Skor])</f>
        <v>331</v>
      </c>
      <c r="O332" s="6">
        <f>COUNTIFS(KabKota[Regional], B332, KabKota[Rata-rata Skor], "&gt;"&amp;M332) + 1</f>
        <v>45</v>
      </c>
    </row>
    <row r="333" ht="22.5" customHeight="1">
      <c r="A333" s="5">
        <v>236.0</v>
      </c>
      <c r="B333" s="5" t="s">
        <v>63</v>
      </c>
      <c r="C333" s="5" t="s">
        <v>23</v>
      </c>
      <c r="D333" s="5" t="s">
        <v>397</v>
      </c>
      <c r="E333" s="7">
        <v>71.57</v>
      </c>
      <c r="F333" s="8">
        <v>0.019</v>
      </c>
      <c r="G333" s="7">
        <f>VLOOKUP(C333,Provinsi[[#ALL],[Daerah]:[IDI]],4,0)</f>
        <v>6.07</v>
      </c>
      <c r="H333" s="9">
        <f>VLOOKUP(C333,Provinsi[[#ALL],[Daerah]:[IDI]],5,0)</f>
        <v>84.17</v>
      </c>
      <c r="I333" s="9">
        <f>(E333 - MIN(KabKota[IPM])) / (MAX(KabKota[IPM]) - MIN(KabKota[IPM])) * 100</f>
        <v>63.45528455</v>
      </c>
      <c r="J333" s="9">
        <f>(F333 - MIN(KabKota[IKF])) / (MAX(KabKota[IKF]) - MIN(KabKota[IKF])) * 100</f>
        <v>2.375</v>
      </c>
      <c r="K333" s="9">
        <f>(G333 - MIN(KabKota[TIK])) / (MAX(KabKota[TIK]) - MIN(KabKota[TIK])) * 100</f>
        <v>58.10185185</v>
      </c>
      <c r="L333" s="9">
        <f>(H333 - MIN(KabKota[IDI])) / (MAX(KabKota[IDI]) - MIN(KabKota[IDI])) * 100</f>
        <v>94.30812325</v>
      </c>
      <c r="M333" s="9">
        <f t="shared" si="1"/>
        <v>54.56006491</v>
      </c>
      <c r="N333" s="11">
        <f>_xlfn.RANK.EQ(M333,KabKota[Rata-rata Skor])</f>
        <v>332</v>
      </c>
      <c r="O333" s="6">
        <f>COUNTIFS(KabKota[Regional], B333, KabKota[Rata-rata Skor], "&gt;"&amp;M333) + 1</f>
        <v>110</v>
      </c>
    </row>
    <row r="334" ht="22.5" customHeight="1">
      <c r="A334" s="5">
        <v>406.0</v>
      </c>
      <c r="B334" s="5" t="s">
        <v>75</v>
      </c>
      <c r="C334" s="5" t="s">
        <v>32</v>
      </c>
      <c r="D334" s="5" t="s">
        <v>398</v>
      </c>
      <c r="E334" s="7">
        <v>71.63</v>
      </c>
      <c r="F334" s="8">
        <v>0.039</v>
      </c>
      <c r="G334" s="7">
        <f>VLOOKUP(C334,Provinsi[[#ALL],[Daerah]:[IDI]],4,0)</f>
        <v>6.21</v>
      </c>
      <c r="H334" s="9">
        <f>VLOOKUP(C334,Provinsi[[#ALL],[Daerah]:[IDI]],5,0)</f>
        <v>78.93</v>
      </c>
      <c r="I334" s="9">
        <f>(E334 - MIN(KabKota[IPM])) / (MAX(KabKota[IPM]) - MIN(KabKota[IPM])) * 100</f>
        <v>63.57723577</v>
      </c>
      <c r="J334" s="9">
        <f>(F334 - MIN(KabKota[IKF])) / (MAX(KabKota[IKF]) - MIN(KabKota[IKF])) * 100</f>
        <v>4.875</v>
      </c>
      <c r="K334" s="9">
        <f>(G334 - MIN(KabKota[TIK])) / (MAX(KabKota[TIK]) - MIN(KabKota[TIK])) * 100</f>
        <v>61.34259259</v>
      </c>
      <c r="L334" s="9">
        <f>(H334 - MIN(KabKota[IDI])) / (MAX(KabKota[IDI]) - MIN(KabKota[IDI])) * 100</f>
        <v>88.43697479</v>
      </c>
      <c r="M334" s="9">
        <f t="shared" si="1"/>
        <v>54.55795079</v>
      </c>
      <c r="N334" s="11">
        <f>_xlfn.RANK.EQ(M334,KabKota[Rata-rata Skor])</f>
        <v>333</v>
      </c>
      <c r="O334" s="6">
        <f>COUNTIFS(KabKota[Regional], B334, KabKota[Rata-rata Skor], "&gt;"&amp;M334) + 1</f>
        <v>43</v>
      </c>
    </row>
    <row r="335" ht="22.5" customHeight="1">
      <c r="A335" s="5">
        <v>255.0</v>
      </c>
      <c r="B335" s="5" t="s">
        <v>63</v>
      </c>
      <c r="C335" s="5" t="s">
        <v>23</v>
      </c>
      <c r="D335" s="5" t="s">
        <v>399</v>
      </c>
      <c r="E335" s="7">
        <v>71.64</v>
      </c>
      <c r="F335" s="8">
        <v>0.017</v>
      </c>
      <c r="G335" s="7">
        <f>VLOOKUP(C335,Provinsi[[#ALL],[Daerah]:[IDI]],4,0)</f>
        <v>6.07</v>
      </c>
      <c r="H335" s="9">
        <f>VLOOKUP(C335,Provinsi[[#ALL],[Daerah]:[IDI]],5,0)</f>
        <v>84.17</v>
      </c>
      <c r="I335" s="9">
        <f>(E335 - MIN(KabKota[IPM])) / (MAX(KabKota[IPM]) - MIN(KabKota[IPM])) * 100</f>
        <v>63.59756098</v>
      </c>
      <c r="J335" s="9">
        <f>(F335 - MIN(KabKota[IKF])) / (MAX(KabKota[IKF]) - MIN(KabKota[IKF])) * 100</f>
        <v>2.125</v>
      </c>
      <c r="K335" s="9">
        <f>(G335 - MIN(KabKota[TIK])) / (MAX(KabKota[TIK]) - MIN(KabKota[TIK])) * 100</f>
        <v>58.10185185</v>
      </c>
      <c r="L335" s="9">
        <f>(H335 - MIN(KabKota[IDI])) / (MAX(KabKota[IDI]) - MIN(KabKota[IDI])) * 100</f>
        <v>94.30812325</v>
      </c>
      <c r="M335" s="9">
        <f t="shared" si="1"/>
        <v>54.53313402</v>
      </c>
      <c r="N335" s="11">
        <f>_xlfn.RANK.EQ(M335,KabKota[Rata-rata Skor])</f>
        <v>334</v>
      </c>
      <c r="O335" s="6">
        <f>COUNTIFS(KabKota[Regional], B335, KabKota[Rata-rata Skor], "&gt;"&amp;M335) + 1</f>
        <v>111</v>
      </c>
    </row>
    <row r="336" ht="22.5" customHeight="1">
      <c r="A336" s="5">
        <v>334.0</v>
      </c>
      <c r="B336" s="5" t="s">
        <v>77</v>
      </c>
      <c r="C336" s="5" t="s">
        <v>40</v>
      </c>
      <c r="D336" s="5" t="s">
        <v>400</v>
      </c>
      <c r="E336" s="7">
        <v>74.68</v>
      </c>
      <c r="F336" s="8">
        <v>0.027</v>
      </c>
      <c r="G336" s="7">
        <f>VLOOKUP(C336,Provinsi[[#ALL],[Daerah]:[IDI]],4,0)</f>
        <v>6.02</v>
      </c>
      <c r="H336" s="9">
        <f>VLOOKUP(C336,Provinsi[[#ALL],[Daerah]:[IDI]],5,0)</f>
        <v>78.47</v>
      </c>
      <c r="I336" s="9">
        <f>(E336 - MIN(KabKota[IPM])) / (MAX(KabKota[IPM]) - MIN(KabKota[IPM])) * 100</f>
        <v>69.77642276</v>
      </c>
      <c r="J336" s="9">
        <f>(F336 - MIN(KabKota[IKF])) / (MAX(KabKota[IKF]) - MIN(KabKota[IKF])) * 100</f>
        <v>3.375</v>
      </c>
      <c r="K336" s="9">
        <f>(G336 - MIN(KabKota[TIK])) / (MAX(KabKota[TIK]) - MIN(KabKota[TIK])) * 100</f>
        <v>56.94444444</v>
      </c>
      <c r="L336" s="9">
        <f>(H336 - MIN(KabKota[IDI])) / (MAX(KabKota[IDI]) - MIN(KabKota[IDI])) * 100</f>
        <v>87.92156863</v>
      </c>
      <c r="M336" s="9">
        <f t="shared" si="1"/>
        <v>54.50435896</v>
      </c>
      <c r="N336" s="11">
        <f>_xlfn.RANK.EQ(M336,KabKota[Rata-rata Skor])</f>
        <v>335</v>
      </c>
      <c r="O336" s="6">
        <f>COUNTIFS(KabKota[Regional], B336, KabKota[Rata-rata Skor], "&gt;"&amp;M336) + 1</f>
        <v>46</v>
      </c>
    </row>
    <row r="337" ht="22.5" customHeight="1">
      <c r="A337" s="5">
        <v>266.0</v>
      </c>
      <c r="B337" s="5" t="s">
        <v>63</v>
      </c>
      <c r="C337" s="5" t="s">
        <v>22</v>
      </c>
      <c r="D337" s="5" t="s">
        <v>401</v>
      </c>
      <c r="E337" s="7">
        <v>71.84</v>
      </c>
      <c r="F337" s="8">
        <v>0.006</v>
      </c>
      <c r="G337" s="7">
        <f>VLOOKUP(C337,Provinsi[[#ALL],[Daerah]:[IDI]],4,0)</f>
        <v>6.46</v>
      </c>
      <c r="H337" s="9">
        <f>VLOOKUP(C337,Provinsi[[#ALL],[Daerah]:[IDI]],5,0)</f>
        <v>76.87</v>
      </c>
      <c r="I337" s="9">
        <f>(E337 - MIN(KabKota[IPM])) / (MAX(KabKota[IPM]) - MIN(KabKota[IPM])) * 100</f>
        <v>64.00406504</v>
      </c>
      <c r="J337" s="9">
        <f>(F337 - MIN(KabKota[IKF])) / (MAX(KabKota[IKF]) - MIN(KabKota[IKF])) * 100</f>
        <v>0.75</v>
      </c>
      <c r="K337" s="9">
        <f>(G337 - MIN(KabKota[TIK])) / (MAX(KabKota[TIK]) - MIN(KabKota[TIK])) * 100</f>
        <v>67.12962963</v>
      </c>
      <c r="L337" s="9">
        <f>(H337 - MIN(KabKota[IDI])) / (MAX(KabKota[IDI]) - MIN(KabKota[IDI])) * 100</f>
        <v>86.12885154</v>
      </c>
      <c r="M337" s="9">
        <f t="shared" si="1"/>
        <v>54.50313655</v>
      </c>
      <c r="N337" s="11">
        <f>_xlfn.RANK.EQ(M337,KabKota[Rata-rata Skor])</f>
        <v>336</v>
      </c>
      <c r="O337" s="6">
        <f>COUNTIFS(KabKota[Regional], B337, KabKota[Rata-rata Skor], "&gt;"&amp;M337) + 1</f>
        <v>112</v>
      </c>
    </row>
    <row r="338" ht="22.5" customHeight="1">
      <c r="A338" s="5">
        <v>445.0</v>
      </c>
      <c r="B338" s="5" t="s">
        <v>75</v>
      </c>
      <c r="C338" s="5" t="s">
        <v>48</v>
      </c>
      <c r="D338" s="5" t="s">
        <v>402</v>
      </c>
      <c r="E338" s="7">
        <v>79.97</v>
      </c>
      <c r="F338" s="8">
        <v>0.007</v>
      </c>
      <c r="G338" s="7">
        <f>VLOOKUP(C338,Provinsi[[#ALL],[Daerah]:[IDI]],4,0)</f>
        <v>5.85</v>
      </c>
      <c r="H338" s="9">
        <f>VLOOKUP(C338,Provinsi[[#ALL],[Daerah]:[IDI]],5,0)</f>
        <v>74.57</v>
      </c>
      <c r="I338" s="9">
        <f>(E338 - MIN(KabKota[IPM])) / (MAX(KabKota[IPM]) - MIN(KabKota[IPM])) * 100</f>
        <v>80.52845528</v>
      </c>
      <c r="J338" s="9">
        <f>(F338 - MIN(KabKota[IKF])) / (MAX(KabKota[IKF]) - MIN(KabKota[IKF])) * 100</f>
        <v>0.875</v>
      </c>
      <c r="K338" s="9">
        <f>(G338 - MIN(KabKota[TIK])) / (MAX(KabKota[TIK]) - MIN(KabKota[TIK])) * 100</f>
        <v>53.00925926</v>
      </c>
      <c r="L338" s="9">
        <f>(H338 - MIN(KabKota[IDI])) / (MAX(KabKota[IDI]) - MIN(KabKota[IDI])) * 100</f>
        <v>83.55182073</v>
      </c>
      <c r="M338" s="9">
        <f t="shared" si="1"/>
        <v>54.49113382</v>
      </c>
      <c r="N338" s="11">
        <f>_xlfn.RANK.EQ(M338,KabKota[Rata-rata Skor])</f>
        <v>337</v>
      </c>
      <c r="O338" s="6">
        <f>COUNTIFS(KabKota[Regional], B338, KabKota[Rata-rata Skor], "&gt;"&amp;M338) + 1</f>
        <v>44</v>
      </c>
    </row>
    <row r="339" ht="22.5" customHeight="1">
      <c r="A339" s="5">
        <v>374.0</v>
      </c>
      <c r="B339" s="5" t="s">
        <v>75</v>
      </c>
      <c r="C339" s="5" t="s">
        <v>37</v>
      </c>
      <c r="D339" s="5" t="s">
        <v>403</v>
      </c>
      <c r="E339" s="7">
        <v>73.68</v>
      </c>
      <c r="F339" s="8">
        <v>0.009</v>
      </c>
      <c r="G339" s="7">
        <f>VLOOKUP(C339,Provinsi[[#ALL],[Daerah]:[IDI]],4,0)</f>
        <v>6.03</v>
      </c>
      <c r="H339" s="9">
        <f>VLOOKUP(C339,Provinsi[[#ALL],[Daerah]:[IDI]],5,0)</f>
        <v>81.87</v>
      </c>
      <c r="I339" s="9">
        <f>(E339 - MIN(KabKota[IPM])) / (MAX(KabKota[IPM]) - MIN(KabKota[IPM])) * 100</f>
        <v>67.74390244</v>
      </c>
      <c r="J339" s="9">
        <f>(F339 - MIN(KabKota[IKF])) / (MAX(KabKota[IKF]) - MIN(KabKota[IKF])) * 100</f>
        <v>1.125</v>
      </c>
      <c r="K339" s="9">
        <f>(G339 - MIN(KabKota[TIK])) / (MAX(KabKota[TIK]) - MIN(KabKota[TIK])) * 100</f>
        <v>57.17592593</v>
      </c>
      <c r="L339" s="9">
        <f>(H339 - MIN(KabKota[IDI])) / (MAX(KabKota[IDI]) - MIN(KabKota[IDI])) * 100</f>
        <v>91.73109244</v>
      </c>
      <c r="M339" s="9">
        <f t="shared" si="1"/>
        <v>54.4439802</v>
      </c>
      <c r="N339" s="11">
        <f>_xlfn.RANK.EQ(M339,KabKota[Rata-rata Skor])</f>
        <v>338</v>
      </c>
      <c r="O339" s="6">
        <f>COUNTIFS(KabKota[Regional], B339, KabKota[Rata-rata Skor], "&gt;"&amp;M339) + 1</f>
        <v>45</v>
      </c>
    </row>
    <row r="340" ht="22.5" customHeight="1">
      <c r="A340" s="5">
        <v>454.0</v>
      </c>
      <c r="B340" s="5" t="s">
        <v>180</v>
      </c>
      <c r="C340" s="5" t="s">
        <v>49</v>
      </c>
      <c r="D340" s="5" t="s">
        <v>404</v>
      </c>
      <c r="E340" s="7">
        <v>68.47</v>
      </c>
      <c r="F340" s="8">
        <v>0.253</v>
      </c>
      <c r="G340" s="7">
        <f>VLOOKUP(C340,Provinsi[[#ALL],[Daerah]:[IDI]],4,0)</f>
        <v>5.84</v>
      </c>
      <c r="H340" s="9">
        <f>VLOOKUP(C340,Provinsi[[#ALL],[Daerah]:[IDI]],5,0)</f>
        <v>67.98</v>
      </c>
      <c r="I340" s="9">
        <f>(E340 - MIN(KabKota[IPM])) / (MAX(KabKota[IPM]) - MIN(KabKota[IPM])) * 100</f>
        <v>57.15447154</v>
      </c>
      <c r="J340" s="9">
        <f>(F340 - MIN(KabKota[IKF])) / (MAX(KabKota[IKF]) - MIN(KabKota[IKF])) * 100</f>
        <v>31.625</v>
      </c>
      <c r="K340" s="9">
        <f>(G340 - MIN(KabKota[TIK])) / (MAX(KabKota[TIK]) - MIN(KabKota[TIK])) * 100</f>
        <v>52.77777778</v>
      </c>
      <c r="L340" s="9">
        <f>(H340 - MIN(KabKota[IDI])) / (MAX(KabKota[IDI]) - MIN(KabKota[IDI])) * 100</f>
        <v>76.16806723</v>
      </c>
      <c r="M340" s="9">
        <f t="shared" si="1"/>
        <v>54.43132914</v>
      </c>
      <c r="N340" s="11">
        <f>_xlfn.RANK.EQ(M340,KabKota[Rata-rata Skor])</f>
        <v>339</v>
      </c>
      <c r="O340" s="6">
        <f>COUNTIFS(KabKota[Regional], B340, KabKota[Rata-rata Skor], "&gt;"&amp;M340) + 1</f>
        <v>5</v>
      </c>
    </row>
    <row r="341" ht="22.5" customHeight="1">
      <c r="A341" s="5">
        <v>124.0</v>
      </c>
      <c r="B341" s="5" t="s">
        <v>70</v>
      </c>
      <c r="C341" s="5" t="s">
        <v>39</v>
      </c>
      <c r="D341" s="5" t="s">
        <v>405</v>
      </c>
      <c r="E341" s="7">
        <v>72.48</v>
      </c>
      <c r="F341" s="8">
        <v>0.018</v>
      </c>
      <c r="G341" s="7">
        <f>VLOOKUP(C341,Provinsi[[#ALL],[Daerah]:[IDI]],4,0)</f>
        <v>6.19</v>
      </c>
      <c r="H341" s="9">
        <f>VLOOKUP(C341,Provinsi[[#ALL],[Daerah]:[IDI]],5,0)</f>
        <v>79.66</v>
      </c>
      <c r="I341" s="9">
        <f>(E341 - MIN(KabKota[IPM])) / (MAX(KabKota[IPM]) - MIN(KabKota[IPM])) * 100</f>
        <v>65.30487805</v>
      </c>
      <c r="J341" s="9">
        <f>(F341 - MIN(KabKota[IKF])) / (MAX(KabKota[IKF]) - MIN(KabKota[IKF])) * 100</f>
        <v>2.25</v>
      </c>
      <c r="K341" s="9">
        <f>(G341 - MIN(KabKota[TIK])) / (MAX(KabKota[TIK]) - MIN(KabKota[TIK])) * 100</f>
        <v>60.87962963</v>
      </c>
      <c r="L341" s="9">
        <f>(H341 - MIN(KabKota[IDI])) / (MAX(KabKota[IDI]) - MIN(KabKota[IDI])) * 100</f>
        <v>89.25490196</v>
      </c>
      <c r="M341" s="9">
        <f t="shared" si="1"/>
        <v>54.42235241</v>
      </c>
      <c r="N341" s="11">
        <f>_xlfn.RANK.EQ(M341,KabKota[Rata-rata Skor])</f>
        <v>340</v>
      </c>
      <c r="O341" s="6">
        <f>COUNTIFS(KabKota[Regional], B341, KabKota[Rata-rata Skor], "&gt;"&amp;M341) + 1</f>
        <v>116</v>
      </c>
    </row>
    <row r="342" ht="22.5" customHeight="1">
      <c r="A342" s="5">
        <v>103.0</v>
      </c>
      <c r="B342" s="5" t="s">
        <v>70</v>
      </c>
      <c r="C342" s="5" t="s">
        <v>29</v>
      </c>
      <c r="D342" s="5" t="s">
        <v>406</v>
      </c>
      <c r="E342" s="7">
        <v>71.92</v>
      </c>
      <c r="F342" s="8">
        <v>0.04</v>
      </c>
      <c r="G342" s="7">
        <f>VLOOKUP(C342,Provinsi[[#ALL],[Daerah]:[IDI]],4,0)</f>
        <v>5.97</v>
      </c>
      <c r="H342" s="9">
        <f>VLOOKUP(C342,Provinsi[[#ALL],[Daerah]:[IDI]],5,0)</f>
        <v>82.71</v>
      </c>
      <c r="I342" s="9">
        <f>(E342 - MIN(KabKota[IPM])) / (MAX(KabKota[IPM]) - MIN(KabKota[IPM])) * 100</f>
        <v>64.16666667</v>
      </c>
      <c r="J342" s="9">
        <f>(F342 - MIN(KabKota[IKF])) / (MAX(KabKota[IKF]) - MIN(KabKota[IKF])) * 100</f>
        <v>5</v>
      </c>
      <c r="K342" s="9">
        <f>(G342 - MIN(KabKota[TIK])) / (MAX(KabKota[TIK]) - MIN(KabKota[TIK])) * 100</f>
        <v>55.78703704</v>
      </c>
      <c r="L342" s="9">
        <f>(H342 - MIN(KabKota[IDI])) / (MAX(KabKota[IDI]) - MIN(KabKota[IDI])) * 100</f>
        <v>92.67226891</v>
      </c>
      <c r="M342" s="9">
        <f t="shared" si="1"/>
        <v>54.40649315</v>
      </c>
      <c r="N342" s="11">
        <f>_xlfn.RANK.EQ(M342,KabKota[Rata-rata Skor])</f>
        <v>341</v>
      </c>
      <c r="O342" s="6">
        <f>COUNTIFS(KabKota[Regional], B342, KabKota[Rata-rata Skor], "&gt;"&amp;M342) + 1</f>
        <v>117</v>
      </c>
    </row>
    <row r="343" ht="22.5" customHeight="1">
      <c r="A343" s="5">
        <v>203.0</v>
      </c>
      <c r="B343" s="5" t="s">
        <v>63</v>
      </c>
      <c r="C343" s="5" t="s">
        <v>30</v>
      </c>
      <c r="D343" s="5" t="s">
        <v>407</v>
      </c>
      <c r="E343" s="7">
        <v>72.35</v>
      </c>
      <c r="F343" s="8">
        <v>0.003</v>
      </c>
      <c r="G343" s="7">
        <f>VLOOKUP(C343,Provinsi[[#ALL],[Daerah]:[IDI]],4,0)</f>
        <v>5.98</v>
      </c>
      <c r="H343" s="9">
        <f>VLOOKUP(C343,Provinsi[[#ALL],[Daerah]:[IDI]],5,0)</f>
        <v>85.84</v>
      </c>
      <c r="I343" s="9">
        <f>(E343 - MIN(KabKota[IPM])) / (MAX(KabKota[IPM]) - MIN(KabKota[IPM])) * 100</f>
        <v>65.04065041</v>
      </c>
      <c r="J343" s="9">
        <f>(F343 - MIN(KabKota[IKF])) / (MAX(KabKota[IKF]) - MIN(KabKota[IKF])) * 100</f>
        <v>0.375</v>
      </c>
      <c r="K343" s="9">
        <f>(G343 - MIN(KabKota[TIK])) / (MAX(KabKota[TIK]) - MIN(KabKota[TIK])) * 100</f>
        <v>56.01851852</v>
      </c>
      <c r="L343" s="9">
        <f>(H343 - MIN(KabKota[IDI])) / (MAX(KabKota[IDI]) - MIN(KabKota[IDI])) * 100</f>
        <v>96.17927171</v>
      </c>
      <c r="M343" s="9">
        <f t="shared" si="1"/>
        <v>54.40336016</v>
      </c>
      <c r="N343" s="11">
        <f>_xlfn.RANK.EQ(M343,KabKota[Rata-rata Skor])</f>
        <v>342</v>
      </c>
      <c r="O343" s="6">
        <f>COUNTIFS(KabKota[Regional], B343, KabKota[Rata-rata Skor], "&gt;"&amp;M343) + 1</f>
        <v>113</v>
      </c>
    </row>
    <row r="344" ht="22.5" customHeight="1">
      <c r="A344" s="5">
        <v>126.0</v>
      </c>
      <c r="B344" s="5" t="s">
        <v>70</v>
      </c>
      <c r="C344" s="5" t="s">
        <v>43</v>
      </c>
      <c r="D344" s="5" t="s">
        <v>408</v>
      </c>
      <c r="E344" s="7">
        <v>73.1</v>
      </c>
      <c r="F344" s="8">
        <v>0.122</v>
      </c>
      <c r="G344" s="7">
        <f>VLOOKUP(C344,Provinsi[[#ALL],[Daerah]:[IDI]],4,0)</f>
        <v>5.91</v>
      </c>
      <c r="H344" s="9">
        <f>VLOOKUP(C344,Provinsi[[#ALL],[Daerah]:[IDI]],5,0)</f>
        <v>72.62</v>
      </c>
      <c r="I344" s="9">
        <f>(E344 - MIN(KabKota[IPM])) / (MAX(KabKota[IPM]) - MIN(KabKota[IPM])) * 100</f>
        <v>66.56504065</v>
      </c>
      <c r="J344" s="9">
        <f>(F344 - MIN(KabKota[IKF])) / (MAX(KabKota[IKF]) - MIN(KabKota[IKF])) * 100</f>
        <v>15.25</v>
      </c>
      <c r="K344" s="9">
        <f>(G344 - MIN(KabKota[TIK])) / (MAX(KabKota[TIK]) - MIN(KabKota[TIK])) * 100</f>
        <v>54.39814815</v>
      </c>
      <c r="L344" s="9">
        <f>(H344 - MIN(KabKota[IDI])) / (MAX(KabKota[IDI]) - MIN(KabKota[IDI])) * 100</f>
        <v>81.36694678</v>
      </c>
      <c r="M344" s="9">
        <f t="shared" si="1"/>
        <v>54.39503389</v>
      </c>
      <c r="N344" s="11">
        <f>_xlfn.RANK.EQ(M344,KabKota[Rata-rata Skor])</f>
        <v>343</v>
      </c>
      <c r="O344" s="6">
        <f>COUNTIFS(KabKota[Regional], B344, KabKota[Rata-rata Skor], "&gt;"&amp;M344) + 1</f>
        <v>118</v>
      </c>
    </row>
    <row r="345" ht="22.5" customHeight="1">
      <c r="A345" s="5">
        <v>145.0</v>
      </c>
      <c r="B345" s="5" t="s">
        <v>70</v>
      </c>
      <c r="C345" s="5" t="s">
        <v>44</v>
      </c>
      <c r="D345" s="5" t="s">
        <v>409</v>
      </c>
      <c r="E345" s="7">
        <v>72.23</v>
      </c>
      <c r="F345" s="8">
        <v>0.025</v>
      </c>
      <c r="G345" s="7">
        <f>VLOOKUP(C345,Provinsi[[#ALL],[Daerah]:[IDI]],4,0)</f>
        <v>6.06</v>
      </c>
      <c r="H345" s="9">
        <f>VLOOKUP(C345,Provinsi[[#ALL],[Daerah]:[IDI]],5,0)</f>
        <v>81.91</v>
      </c>
      <c r="I345" s="9">
        <f>(E345 - MIN(KabKota[IPM])) / (MAX(KabKota[IPM]) - MIN(KabKota[IPM])) * 100</f>
        <v>64.79674797</v>
      </c>
      <c r="J345" s="9">
        <f>(F345 - MIN(KabKota[IKF])) / (MAX(KabKota[IKF]) - MIN(KabKota[IKF])) * 100</f>
        <v>3.125</v>
      </c>
      <c r="K345" s="9">
        <f>(G345 - MIN(KabKota[TIK])) / (MAX(KabKota[TIK]) - MIN(KabKota[TIK])) * 100</f>
        <v>57.87037037</v>
      </c>
      <c r="L345" s="9">
        <f>(H345 - MIN(KabKota[IDI])) / (MAX(KabKota[IDI]) - MIN(KabKota[IDI])) * 100</f>
        <v>91.77591036</v>
      </c>
      <c r="M345" s="9">
        <f t="shared" si="1"/>
        <v>54.39200718</v>
      </c>
      <c r="N345" s="11">
        <f>_xlfn.RANK.EQ(M345,KabKota[Rata-rata Skor])</f>
        <v>344</v>
      </c>
      <c r="O345" s="6">
        <f>COUNTIFS(KabKota[Regional], B345, KabKota[Rata-rata Skor], "&gt;"&amp;M345) + 1</f>
        <v>119</v>
      </c>
    </row>
    <row r="346" ht="22.5" customHeight="1">
      <c r="A346" s="5">
        <v>228.0</v>
      </c>
      <c r="B346" s="5" t="s">
        <v>63</v>
      </c>
      <c r="C346" s="5" t="s">
        <v>23</v>
      </c>
      <c r="D346" s="5" t="s">
        <v>410</v>
      </c>
      <c r="E346" s="7">
        <v>72.26</v>
      </c>
      <c r="F346" s="8">
        <v>0.002</v>
      </c>
      <c r="G346" s="7">
        <f>VLOOKUP(C346,Provinsi[[#ALL],[Daerah]:[IDI]],4,0)</f>
        <v>6.07</v>
      </c>
      <c r="H346" s="9">
        <f>VLOOKUP(C346,Provinsi[[#ALL],[Daerah]:[IDI]],5,0)</f>
        <v>84.17</v>
      </c>
      <c r="I346" s="9">
        <f>(E346 - MIN(KabKota[IPM])) / (MAX(KabKota[IPM]) - MIN(KabKota[IPM])) * 100</f>
        <v>64.85772358</v>
      </c>
      <c r="J346" s="9">
        <f>(F346 - MIN(KabKota[IKF])) / (MAX(KabKota[IKF]) - MIN(KabKota[IKF])) * 100</f>
        <v>0.25</v>
      </c>
      <c r="K346" s="9">
        <f>(G346 - MIN(KabKota[TIK])) / (MAX(KabKota[TIK]) - MIN(KabKota[TIK])) * 100</f>
        <v>58.10185185</v>
      </c>
      <c r="L346" s="9">
        <f>(H346 - MIN(KabKota[IDI])) / (MAX(KabKota[IDI]) - MIN(KabKota[IDI])) * 100</f>
        <v>94.30812325</v>
      </c>
      <c r="M346" s="9">
        <f t="shared" si="1"/>
        <v>54.37942467</v>
      </c>
      <c r="N346" s="11">
        <f>_xlfn.RANK.EQ(M346,KabKota[Rata-rata Skor])</f>
        <v>345</v>
      </c>
      <c r="O346" s="6">
        <f>COUNTIFS(KabKota[Regional], B346, KabKota[Rata-rata Skor], "&gt;"&amp;M346) + 1</f>
        <v>114</v>
      </c>
    </row>
    <row r="347" ht="22.5" customHeight="1">
      <c r="A347" s="5">
        <v>144.0</v>
      </c>
      <c r="B347" s="5" t="s">
        <v>70</v>
      </c>
      <c r="C347" s="5" t="s">
        <v>44</v>
      </c>
      <c r="D347" s="5" t="s">
        <v>411</v>
      </c>
      <c r="E347" s="7">
        <v>73.1</v>
      </c>
      <c r="F347" s="8">
        <v>0.009</v>
      </c>
      <c r="G347" s="7">
        <f>VLOOKUP(C347,Provinsi[[#ALL],[Daerah]:[IDI]],4,0)</f>
        <v>6.06</v>
      </c>
      <c r="H347" s="9">
        <f>VLOOKUP(C347,Provinsi[[#ALL],[Daerah]:[IDI]],5,0)</f>
        <v>81.91</v>
      </c>
      <c r="I347" s="9">
        <f>(E347 - MIN(KabKota[IPM])) / (MAX(KabKota[IPM]) - MIN(KabKota[IPM])) * 100</f>
        <v>66.56504065</v>
      </c>
      <c r="J347" s="9">
        <f>(F347 - MIN(KabKota[IKF])) / (MAX(KabKota[IKF]) - MIN(KabKota[IKF])) * 100</f>
        <v>1.125</v>
      </c>
      <c r="K347" s="9">
        <f>(G347 - MIN(KabKota[TIK])) / (MAX(KabKota[TIK]) - MIN(KabKota[TIK])) * 100</f>
        <v>57.87037037</v>
      </c>
      <c r="L347" s="9">
        <f>(H347 - MIN(KabKota[IDI])) / (MAX(KabKota[IDI]) - MIN(KabKota[IDI])) * 100</f>
        <v>91.77591036</v>
      </c>
      <c r="M347" s="9">
        <f t="shared" si="1"/>
        <v>54.33408035</v>
      </c>
      <c r="N347" s="11">
        <f>_xlfn.RANK.EQ(M347,KabKota[Rata-rata Skor])</f>
        <v>346</v>
      </c>
      <c r="O347" s="6">
        <f>COUNTIFS(KabKota[Regional], B347, KabKota[Rata-rata Skor], "&gt;"&amp;M347) + 1</f>
        <v>120</v>
      </c>
    </row>
    <row r="348" ht="22.5" customHeight="1">
      <c r="A348" s="5">
        <v>371.0</v>
      </c>
      <c r="B348" s="5" t="s">
        <v>75</v>
      </c>
      <c r="C348" s="5" t="s">
        <v>37</v>
      </c>
      <c r="D348" s="5" t="s">
        <v>412</v>
      </c>
      <c r="E348" s="7">
        <v>71.83</v>
      </c>
      <c r="F348" s="8">
        <v>0.034</v>
      </c>
      <c r="G348" s="7">
        <f>VLOOKUP(C348,Provinsi[[#ALL],[Daerah]:[IDI]],4,0)</f>
        <v>6.03</v>
      </c>
      <c r="H348" s="9">
        <f>VLOOKUP(C348,Provinsi[[#ALL],[Daerah]:[IDI]],5,0)</f>
        <v>81.87</v>
      </c>
      <c r="I348" s="9">
        <f>(E348 - MIN(KabKota[IPM])) / (MAX(KabKota[IPM]) - MIN(KabKota[IPM])) * 100</f>
        <v>63.98373984</v>
      </c>
      <c r="J348" s="9">
        <f>(F348 - MIN(KabKota[IKF])) / (MAX(KabKota[IKF]) - MIN(KabKota[IKF])) * 100</f>
        <v>4.25</v>
      </c>
      <c r="K348" s="9">
        <f>(G348 - MIN(KabKota[TIK])) / (MAX(KabKota[TIK]) - MIN(KabKota[TIK])) * 100</f>
        <v>57.17592593</v>
      </c>
      <c r="L348" s="9">
        <f>(H348 - MIN(KabKota[IDI])) / (MAX(KabKota[IDI]) - MIN(KabKota[IDI])) * 100</f>
        <v>91.73109244</v>
      </c>
      <c r="M348" s="9">
        <f t="shared" si="1"/>
        <v>54.28518955</v>
      </c>
      <c r="N348" s="11">
        <f>_xlfn.RANK.EQ(M348,KabKota[Rata-rata Skor])</f>
        <v>347</v>
      </c>
      <c r="O348" s="6">
        <f>COUNTIFS(KabKota[Regional], B348, KabKota[Rata-rata Skor], "&gt;"&amp;M348) + 1</f>
        <v>46</v>
      </c>
    </row>
    <row r="349" ht="22.5" customHeight="1">
      <c r="A349" s="5">
        <v>436.0</v>
      </c>
      <c r="B349" s="5" t="s">
        <v>75</v>
      </c>
      <c r="C349" s="5" t="s">
        <v>46</v>
      </c>
      <c r="D349" s="5" t="s">
        <v>413</v>
      </c>
      <c r="E349" s="7">
        <v>68.39</v>
      </c>
      <c r="F349" s="8">
        <v>0.124</v>
      </c>
      <c r="G349" s="7">
        <f>VLOOKUP(C349,Provinsi[[#ALL],[Daerah]:[IDI]],4,0)</f>
        <v>6.03</v>
      </c>
      <c r="H349" s="9">
        <f>VLOOKUP(C349,Provinsi[[#ALL],[Daerah]:[IDI]],5,0)</f>
        <v>78.04</v>
      </c>
      <c r="I349" s="9">
        <f>(E349 - MIN(KabKota[IPM])) / (MAX(KabKota[IPM]) - MIN(KabKota[IPM])) * 100</f>
        <v>56.99186992</v>
      </c>
      <c r="J349" s="9">
        <f>(F349 - MIN(KabKota[IKF])) / (MAX(KabKota[IKF]) - MIN(KabKota[IKF])) * 100</f>
        <v>15.5</v>
      </c>
      <c r="K349" s="9">
        <f>(G349 - MIN(KabKota[TIK])) / (MAX(KabKota[TIK]) - MIN(KabKota[TIK])) * 100</f>
        <v>57.17592593</v>
      </c>
      <c r="L349" s="9">
        <f>(H349 - MIN(KabKota[IDI])) / (MAX(KabKota[IDI]) - MIN(KabKota[IDI])) * 100</f>
        <v>87.43977591</v>
      </c>
      <c r="M349" s="9">
        <f t="shared" si="1"/>
        <v>54.27689294</v>
      </c>
      <c r="N349" s="11">
        <f>_xlfn.RANK.EQ(M349,KabKota[Rata-rata Skor])</f>
        <v>348</v>
      </c>
      <c r="O349" s="6">
        <f>COUNTIFS(KabKota[Regional], B349, KabKota[Rata-rata Skor], "&gt;"&amp;M349) + 1</f>
        <v>47</v>
      </c>
    </row>
    <row r="350" ht="22.5" customHeight="1">
      <c r="A350" s="5">
        <v>452.0</v>
      </c>
      <c r="B350" s="5" t="s">
        <v>180</v>
      </c>
      <c r="C350" s="5" t="s">
        <v>49</v>
      </c>
      <c r="D350" s="5" t="s">
        <v>414</v>
      </c>
      <c r="E350" s="7">
        <v>75.87</v>
      </c>
      <c r="F350" s="8">
        <v>0.127</v>
      </c>
      <c r="G350" s="7">
        <f>VLOOKUP(C350,Provinsi[[#ALL],[Daerah]:[IDI]],4,0)</f>
        <v>5.84</v>
      </c>
      <c r="H350" s="9">
        <f>VLOOKUP(C350,Provinsi[[#ALL],[Daerah]:[IDI]],5,0)</f>
        <v>67.98</v>
      </c>
      <c r="I350" s="9">
        <f>(E350 - MIN(KabKota[IPM])) / (MAX(KabKota[IPM]) - MIN(KabKota[IPM])) * 100</f>
        <v>72.19512195</v>
      </c>
      <c r="J350" s="9">
        <f>(F350 - MIN(KabKota[IKF])) / (MAX(KabKota[IKF]) - MIN(KabKota[IKF])) * 100</f>
        <v>15.875</v>
      </c>
      <c r="K350" s="9">
        <f>(G350 - MIN(KabKota[TIK])) / (MAX(KabKota[TIK]) - MIN(KabKota[TIK])) * 100</f>
        <v>52.77777778</v>
      </c>
      <c r="L350" s="9">
        <f>(H350 - MIN(KabKota[IDI])) / (MAX(KabKota[IDI]) - MIN(KabKota[IDI])) * 100</f>
        <v>76.16806723</v>
      </c>
      <c r="M350" s="9">
        <f t="shared" si="1"/>
        <v>54.25399174</v>
      </c>
      <c r="N350" s="11">
        <f>_xlfn.RANK.EQ(M350,KabKota[Rata-rata Skor])</f>
        <v>349</v>
      </c>
      <c r="O350" s="6">
        <f>COUNTIFS(KabKota[Regional], B350, KabKota[Rata-rata Skor], "&gt;"&amp;M350) + 1</f>
        <v>6</v>
      </c>
    </row>
    <row r="351" ht="22.5" customHeight="1">
      <c r="A351" s="5">
        <v>82.0</v>
      </c>
      <c r="B351" s="5" t="s">
        <v>70</v>
      </c>
      <c r="C351" s="5" t="s">
        <v>33</v>
      </c>
      <c r="D351" s="5" t="s">
        <v>415</v>
      </c>
      <c r="E351" s="7">
        <v>73.07</v>
      </c>
      <c r="F351" s="8">
        <v>0.011</v>
      </c>
      <c r="G351" s="7">
        <f>VLOOKUP(C351,Provinsi[[#ALL],[Daerah]:[IDI]],4,0)</f>
        <v>6.27</v>
      </c>
      <c r="H351" s="9">
        <f>VLOOKUP(C351,Provinsi[[#ALL],[Daerah]:[IDI]],5,0)</f>
        <v>77.06</v>
      </c>
      <c r="I351" s="9">
        <f>(E351 - MIN(KabKota[IPM])) / (MAX(KabKota[IPM]) - MIN(KabKota[IPM])) * 100</f>
        <v>66.50406504</v>
      </c>
      <c r="J351" s="9">
        <f>(F351 - MIN(KabKota[IKF])) / (MAX(KabKota[IKF]) - MIN(KabKota[IKF])) * 100</f>
        <v>1.375</v>
      </c>
      <c r="K351" s="9">
        <f>(G351 - MIN(KabKota[TIK])) / (MAX(KabKota[TIK]) - MIN(KabKota[TIK])) * 100</f>
        <v>62.73148148</v>
      </c>
      <c r="L351" s="9">
        <f>(H351 - MIN(KabKota[IDI])) / (MAX(KabKota[IDI]) - MIN(KabKota[IDI])) * 100</f>
        <v>86.34173669</v>
      </c>
      <c r="M351" s="9">
        <f t="shared" si="1"/>
        <v>54.2380708</v>
      </c>
      <c r="N351" s="11">
        <f>_xlfn.RANK.EQ(M351,KabKota[Rata-rata Skor])</f>
        <v>350</v>
      </c>
      <c r="O351" s="6">
        <f>COUNTIFS(KabKota[Regional], B351, KabKota[Rata-rata Skor], "&gt;"&amp;M351) + 1</f>
        <v>121</v>
      </c>
    </row>
    <row r="352" ht="22.5" customHeight="1">
      <c r="A352" s="5">
        <v>123.0</v>
      </c>
      <c r="B352" s="5" t="s">
        <v>70</v>
      </c>
      <c r="C352" s="5" t="s">
        <v>39</v>
      </c>
      <c r="D352" s="5" t="s">
        <v>416</v>
      </c>
      <c r="E352" s="7">
        <v>72.96</v>
      </c>
      <c r="F352" s="8">
        <v>0.003</v>
      </c>
      <c r="G352" s="7">
        <f>VLOOKUP(C352,Provinsi[[#ALL],[Daerah]:[IDI]],4,0)</f>
        <v>6.19</v>
      </c>
      <c r="H352" s="9">
        <f>VLOOKUP(C352,Provinsi[[#ALL],[Daerah]:[IDI]],5,0)</f>
        <v>79.66</v>
      </c>
      <c r="I352" s="9">
        <f>(E352 - MIN(KabKota[IPM])) / (MAX(KabKota[IPM]) - MIN(KabKota[IPM])) * 100</f>
        <v>66.2804878</v>
      </c>
      <c r="J352" s="9">
        <f>(F352 - MIN(KabKota[IKF])) / (MAX(KabKota[IKF]) - MIN(KabKota[IKF])) * 100</f>
        <v>0.375</v>
      </c>
      <c r="K352" s="9">
        <f>(G352 - MIN(KabKota[TIK])) / (MAX(KabKota[TIK]) - MIN(KabKota[TIK])) * 100</f>
        <v>60.87962963</v>
      </c>
      <c r="L352" s="9">
        <f>(H352 - MIN(KabKota[IDI])) / (MAX(KabKota[IDI]) - MIN(KabKota[IDI])) * 100</f>
        <v>89.25490196</v>
      </c>
      <c r="M352" s="9">
        <f t="shared" si="1"/>
        <v>54.19750485</v>
      </c>
      <c r="N352" s="11">
        <f>_xlfn.RANK.EQ(M352,KabKota[Rata-rata Skor])</f>
        <v>351</v>
      </c>
      <c r="O352" s="6">
        <f>COUNTIFS(KabKota[Regional], B352, KabKota[Rata-rata Skor], "&gt;"&amp;M352) + 1</f>
        <v>122</v>
      </c>
    </row>
    <row r="353" ht="22.5" customHeight="1">
      <c r="A353" s="5">
        <v>325.0</v>
      </c>
      <c r="B353" s="5" t="s">
        <v>77</v>
      </c>
      <c r="C353" s="5" t="s">
        <v>35</v>
      </c>
      <c r="D353" s="5" t="s">
        <v>417</v>
      </c>
      <c r="E353" s="7">
        <v>67.6</v>
      </c>
      <c r="F353" s="8">
        <v>0.084</v>
      </c>
      <c r="G353" s="7">
        <f>VLOOKUP(C353,Provinsi[[#ALL],[Daerah]:[IDI]],4,0)</f>
        <v>5.9</v>
      </c>
      <c r="H353" s="9">
        <f>VLOOKUP(C353,Provinsi[[#ALL],[Daerah]:[IDI]],5,0)</f>
        <v>86.17</v>
      </c>
      <c r="I353" s="9">
        <f>(E353 - MIN(KabKota[IPM])) / (MAX(KabKota[IPM]) - MIN(KabKota[IPM])) * 100</f>
        <v>55.38617886</v>
      </c>
      <c r="J353" s="9">
        <f>(F353 - MIN(KabKota[IKF])) / (MAX(KabKota[IKF]) - MIN(KabKota[IKF])) * 100</f>
        <v>10.5</v>
      </c>
      <c r="K353" s="9">
        <f>(G353 - MIN(KabKota[TIK])) / (MAX(KabKota[TIK]) - MIN(KabKota[TIK])) * 100</f>
        <v>54.16666667</v>
      </c>
      <c r="L353" s="9">
        <f>(H353 - MIN(KabKota[IDI])) / (MAX(KabKota[IDI]) - MIN(KabKota[IDI])) * 100</f>
        <v>96.54901961</v>
      </c>
      <c r="M353" s="9">
        <f t="shared" si="1"/>
        <v>54.15046628</v>
      </c>
      <c r="N353" s="11">
        <f>_xlfn.RANK.EQ(M353,KabKota[Rata-rata Skor])</f>
        <v>352</v>
      </c>
      <c r="O353" s="6">
        <f>COUNTIFS(KabKota[Regional], B353, KabKota[Rata-rata Skor], "&gt;"&amp;M353) + 1</f>
        <v>47</v>
      </c>
    </row>
    <row r="354" ht="22.5" customHeight="1">
      <c r="A354" s="5">
        <v>94.0</v>
      </c>
      <c r="B354" s="5" t="s">
        <v>70</v>
      </c>
      <c r="C354" s="5" t="s">
        <v>38</v>
      </c>
      <c r="D354" s="5" t="s">
        <v>418</v>
      </c>
      <c r="E354" s="7">
        <v>71.28</v>
      </c>
      <c r="F354" s="8">
        <v>0.035</v>
      </c>
      <c r="G354" s="7">
        <f>VLOOKUP(C354,Provinsi[[#ALL],[Daerah]:[IDI]],4,0)</f>
        <v>6.03</v>
      </c>
      <c r="H354" s="9">
        <f>VLOOKUP(C354,Provinsi[[#ALL],[Daerah]:[IDI]],5,0)</f>
        <v>82.27</v>
      </c>
      <c r="I354" s="9">
        <f>(E354 - MIN(KabKota[IPM])) / (MAX(KabKota[IPM]) - MIN(KabKota[IPM])) * 100</f>
        <v>62.86585366</v>
      </c>
      <c r="J354" s="9">
        <f>(F354 - MIN(KabKota[IKF])) / (MAX(KabKota[IKF]) - MIN(KabKota[IKF])) * 100</f>
        <v>4.375</v>
      </c>
      <c r="K354" s="9">
        <f>(G354 - MIN(KabKota[TIK])) / (MAX(KabKota[TIK]) - MIN(KabKota[TIK])) * 100</f>
        <v>57.17592593</v>
      </c>
      <c r="L354" s="9">
        <f>(H354 - MIN(KabKota[IDI])) / (MAX(KabKota[IDI]) - MIN(KabKota[IDI])) * 100</f>
        <v>92.17927171</v>
      </c>
      <c r="M354" s="9">
        <f t="shared" si="1"/>
        <v>54.14901282</v>
      </c>
      <c r="N354" s="11">
        <f>_xlfn.RANK.EQ(M354,KabKota[Rata-rata Skor])</f>
        <v>353</v>
      </c>
      <c r="O354" s="6">
        <f>COUNTIFS(KabKota[Regional], B354, KabKota[Rata-rata Skor], "&gt;"&amp;M354) + 1</f>
        <v>123</v>
      </c>
    </row>
    <row r="355" ht="22.5" customHeight="1">
      <c r="A355" s="5">
        <v>337.0</v>
      </c>
      <c r="B355" s="5" t="s">
        <v>77</v>
      </c>
      <c r="C355" s="5" t="s">
        <v>40</v>
      </c>
      <c r="D355" s="5" t="s">
        <v>419</v>
      </c>
      <c r="E355" s="7">
        <v>74.46</v>
      </c>
      <c r="F355" s="8">
        <v>0.019</v>
      </c>
      <c r="G355" s="7">
        <f>VLOOKUP(C355,Provinsi[[#ALL],[Daerah]:[IDI]],4,0)</f>
        <v>6.02</v>
      </c>
      <c r="H355" s="9">
        <f>VLOOKUP(C355,Provinsi[[#ALL],[Daerah]:[IDI]],5,0)</f>
        <v>78.47</v>
      </c>
      <c r="I355" s="9">
        <f>(E355 - MIN(KabKota[IPM])) / (MAX(KabKota[IPM]) - MIN(KabKota[IPM])) * 100</f>
        <v>69.32926829</v>
      </c>
      <c r="J355" s="9">
        <f>(F355 - MIN(KabKota[IKF])) / (MAX(KabKota[IKF]) - MIN(KabKota[IKF])) * 100</f>
        <v>2.375</v>
      </c>
      <c r="K355" s="9">
        <f>(G355 - MIN(KabKota[TIK])) / (MAX(KabKota[TIK]) - MIN(KabKota[TIK])) * 100</f>
        <v>56.94444444</v>
      </c>
      <c r="L355" s="9">
        <f>(H355 - MIN(KabKota[IDI])) / (MAX(KabKota[IDI]) - MIN(KabKota[IDI])) * 100</f>
        <v>87.92156863</v>
      </c>
      <c r="M355" s="9">
        <f t="shared" si="1"/>
        <v>54.14257034</v>
      </c>
      <c r="N355" s="11">
        <f>_xlfn.RANK.EQ(M355,KabKota[Rata-rata Skor])</f>
        <v>354</v>
      </c>
      <c r="O355" s="6">
        <f>COUNTIFS(KabKota[Regional], B355, KabKota[Rata-rata Skor], "&gt;"&amp;M355) + 1</f>
        <v>48</v>
      </c>
    </row>
    <row r="356" ht="22.5" customHeight="1">
      <c r="A356" s="5">
        <v>457.0</v>
      </c>
      <c r="B356" s="5" t="s">
        <v>180</v>
      </c>
      <c r="C356" s="5" t="s">
        <v>49</v>
      </c>
      <c r="D356" s="5" t="s">
        <v>420</v>
      </c>
      <c r="E356" s="7">
        <v>72.91</v>
      </c>
      <c r="F356" s="8">
        <v>0.171</v>
      </c>
      <c r="G356" s="7">
        <f>VLOOKUP(C356,Provinsi[[#ALL],[Daerah]:[IDI]],4,0)</f>
        <v>5.84</v>
      </c>
      <c r="H356" s="9">
        <f>VLOOKUP(C356,Provinsi[[#ALL],[Daerah]:[IDI]],5,0)</f>
        <v>67.98</v>
      </c>
      <c r="I356" s="9">
        <f>(E356 - MIN(KabKota[IPM])) / (MAX(KabKota[IPM]) - MIN(KabKota[IPM])) * 100</f>
        <v>66.17886179</v>
      </c>
      <c r="J356" s="9">
        <f>(F356 - MIN(KabKota[IKF])) / (MAX(KabKota[IKF]) - MIN(KabKota[IKF])) * 100</f>
        <v>21.375</v>
      </c>
      <c r="K356" s="9">
        <f>(G356 - MIN(KabKota[TIK])) / (MAX(KabKota[TIK]) - MIN(KabKota[TIK])) * 100</f>
        <v>52.77777778</v>
      </c>
      <c r="L356" s="9">
        <f>(H356 - MIN(KabKota[IDI])) / (MAX(KabKota[IDI]) - MIN(KabKota[IDI])) * 100</f>
        <v>76.16806723</v>
      </c>
      <c r="M356" s="9">
        <f t="shared" si="1"/>
        <v>54.1249267</v>
      </c>
      <c r="N356" s="11">
        <f>_xlfn.RANK.EQ(M356,KabKota[Rata-rata Skor])</f>
        <v>355</v>
      </c>
      <c r="O356" s="6">
        <f>COUNTIFS(KabKota[Regional], B356, KabKota[Rata-rata Skor], "&gt;"&amp;M356) + 1</f>
        <v>7</v>
      </c>
    </row>
    <row r="357" ht="22.5" customHeight="1">
      <c r="A357" s="5">
        <v>100.0</v>
      </c>
      <c r="B357" s="5" t="s">
        <v>70</v>
      </c>
      <c r="C357" s="5" t="s">
        <v>29</v>
      </c>
      <c r="D357" s="5" t="s">
        <v>421</v>
      </c>
      <c r="E357" s="7">
        <v>72.2</v>
      </c>
      <c r="F357" s="8">
        <v>0.026</v>
      </c>
      <c r="G357" s="7">
        <f>VLOOKUP(C357,Provinsi[[#ALL],[Daerah]:[IDI]],4,0)</f>
        <v>5.97</v>
      </c>
      <c r="H357" s="9">
        <f>VLOOKUP(C357,Provinsi[[#ALL],[Daerah]:[IDI]],5,0)</f>
        <v>82.71</v>
      </c>
      <c r="I357" s="9">
        <f>(E357 - MIN(KabKota[IPM])) / (MAX(KabKota[IPM]) - MIN(KabKota[IPM])) * 100</f>
        <v>64.73577236</v>
      </c>
      <c r="J357" s="9">
        <f>(F357 - MIN(KabKota[IKF])) / (MAX(KabKota[IKF]) - MIN(KabKota[IKF])) * 100</f>
        <v>3.25</v>
      </c>
      <c r="K357" s="9">
        <f>(G357 - MIN(KabKota[TIK])) / (MAX(KabKota[TIK]) - MIN(KabKota[TIK])) * 100</f>
        <v>55.78703704</v>
      </c>
      <c r="L357" s="9">
        <f>(H357 - MIN(KabKota[IDI])) / (MAX(KabKota[IDI]) - MIN(KabKota[IDI])) * 100</f>
        <v>92.67226891</v>
      </c>
      <c r="M357" s="9">
        <f t="shared" si="1"/>
        <v>54.11126958</v>
      </c>
      <c r="N357" s="11">
        <f>_xlfn.RANK.EQ(M357,KabKota[Rata-rata Skor])</f>
        <v>356</v>
      </c>
      <c r="O357" s="6">
        <f>COUNTIFS(KabKota[Regional], B357, KabKota[Rata-rata Skor], "&gt;"&amp;M357) + 1</f>
        <v>124</v>
      </c>
    </row>
    <row r="358" ht="22.5" customHeight="1">
      <c r="A358" s="5">
        <v>387.0</v>
      </c>
      <c r="B358" s="5" t="s">
        <v>75</v>
      </c>
      <c r="C358" s="5" t="s">
        <v>47</v>
      </c>
      <c r="D358" s="5" t="s">
        <v>422</v>
      </c>
      <c r="E358" s="7">
        <v>74.55</v>
      </c>
      <c r="F358" s="8">
        <v>0.025</v>
      </c>
      <c r="G358" s="7">
        <f>VLOOKUP(C358,Provinsi[[#ALL],[Daerah]:[IDI]],4,0)</f>
        <v>5.93</v>
      </c>
      <c r="H358" s="9">
        <f>VLOOKUP(C358,Provinsi[[#ALL],[Daerah]:[IDI]],5,0)</f>
        <v>79.35</v>
      </c>
      <c r="I358" s="9">
        <f>(E358 - MIN(KabKota[IPM])) / (MAX(KabKota[IPM]) - MIN(KabKota[IPM])) * 100</f>
        <v>69.51219512</v>
      </c>
      <c r="J358" s="9">
        <f>(F358 - MIN(KabKota[IKF])) / (MAX(KabKota[IKF]) - MIN(KabKota[IKF])) * 100</f>
        <v>3.125</v>
      </c>
      <c r="K358" s="9">
        <f>(G358 - MIN(KabKota[TIK])) / (MAX(KabKota[TIK]) - MIN(KabKota[TIK])) * 100</f>
        <v>54.86111111</v>
      </c>
      <c r="L358" s="9">
        <f>(H358 - MIN(KabKota[IDI])) / (MAX(KabKota[IDI]) - MIN(KabKota[IDI])) * 100</f>
        <v>88.90756303</v>
      </c>
      <c r="M358" s="9">
        <f t="shared" si="1"/>
        <v>54.10146731</v>
      </c>
      <c r="N358" s="11">
        <f>_xlfn.RANK.EQ(M358,KabKota[Rata-rata Skor])</f>
        <v>357</v>
      </c>
      <c r="O358" s="6">
        <f>COUNTIFS(KabKota[Regional], B358, KabKota[Rata-rata Skor], "&gt;"&amp;M358) + 1</f>
        <v>48</v>
      </c>
    </row>
    <row r="359" ht="22.5" customHeight="1">
      <c r="A359" s="5">
        <v>405.0</v>
      </c>
      <c r="B359" s="5" t="s">
        <v>75</v>
      </c>
      <c r="C359" s="5" t="s">
        <v>32</v>
      </c>
      <c r="D359" s="5" t="s">
        <v>423</v>
      </c>
      <c r="E359" s="7">
        <v>72.76</v>
      </c>
      <c r="F359" s="8">
        <v>0.006</v>
      </c>
      <c r="G359" s="7">
        <f>VLOOKUP(C359,Provinsi[[#ALL],[Daerah]:[IDI]],4,0)</f>
        <v>6.21</v>
      </c>
      <c r="H359" s="9">
        <f>VLOOKUP(C359,Provinsi[[#ALL],[Daerah]:[IDI]],5,0)</f>
        <v>78.93</v>
      </c>
      <c r="I359" s="9">
        <f>(E359 - MIN(KabKota[IPM])) / (MAX(KabKota[IPM]) - MIN(KabKota[IPM])) * 100</f>
        <v>65.87398374</v>
      </c>
      <c r="J359" s="9">
        <f>(F359 - MIN(KabKota[IKF])) / (MAX(KabKota[IKF]) - MIN(KabKota[IKF])) * 100</f>
        <v>0.75</v>
      </c>
      <c r="K359" s="9">
        <f>(G359 - MIN(KabKota[TIK])) / (MAX(KabKota[TIK]) - MIN(KabKota[TIK])) * 100</f>
        <v>61.34259259</v>
      </c>
      <c r="L359" s="9">
        <f>(H359 - MIN(KabKota[IDI])) / (MAX(KabKota[IDI]) - MIN(KabKota[IDI])) * 100</f>
        <v>88.43697479</v>
      </c>
      <c r="M359" s="9">
        <f t="shared" si="1"/>
        <v>54.10088778</v>
      </c>
      <c r="N359" s="11">
        <f>_xlfn.RANK.EQ(M359,KabKota[Rata-rata Skor])</f>
        <v>358</v>
      </c>
      <c r="O359" s="6">
        <f>COUNTIFS(KabKota[Regional], B359, KabKota[Rata-rata Skor], "&gt;"&amp;M359) + 1</f>
        <v>49</v>
      </c>
    </row>
    <row r="360" ht="22.5" customHeight="1">
      <c r="A360" s="5">
        <v>119.0</v>
      </c>
      <c r="B360" s="5" t="s">
        <v>70</v>
      </c>
      <c r="C360" s="5" t="s">
        <v>39</v>
      </c>
      <c r="D360" s="5" t="s">
        <v>424</v>
      </c>
      <c r="E360" s="7">
        <v>72.45</v>
      </c>
      <c r="F360" s="8">
        <v>0.004</v>
      </c>
      <c r="G360" s="7">
        <f>VLOOKUP(C360,Provinsi[[#ALL],[Daerah]:[IDI]],4,0)</f>
        <v>6.19</v>
      </c>
      <c r="H360" s="9">
        <f>VLOOKUP(C360,Provinsi[[#ALL],[Daerah]:[IDI]],5,0)</f>
        <v>79.66</v>
      </c>
      <c r="I360" s="9">
        <f>(E360 - MIN(KabKota[IPM])) / (MAX(KabKota[IPM]) - MIN(KabKota[IPM])) * 100</f>
        <v>65.24390244</v>
      </c>
      <c r="J360" s="9">
        <f>(F360 - MIN(KabKota[IKF])) / (MAX(KabKota[IKF]) - MIN(KabKota[IKF])) * 100</f>
        <v>0.5</v>
      </c>
      <c r="K360" s="9">
        <f>(G360 - MIN(KabKota[TIK])) / (MAX(KabKota[TIK]) - MIN(KabKota[TIK])) * 100</f>
        <v>60.87962963</v>
      </c>
      <c r="L360" s="9">
        <f>(H360 - MIN(KabKota[IDI])) / (MAX(KabKota[IDI]) - MIN(KabKota[IDI])) * 100</f>
        <v>89.25490196</v>
      </c>
      <c r="M360" s="9">
        <f t="shared" si="1"/>
        <v>53.96960851</v>
      </c>
      <c r="N360" s="11">
        <f>_xlfn.RANK.EQ(M360,KabKota[Rata-rata Skor])</f>
        <v>359</v>
      </c>
      <c r="O360" s="6">
        <f>COUNTIFS(KabKota[Regional], B360, KabKota[Rata-rata Skor], "&gt;"&amp;M360) + 1</f>
        <v>125</v>
      </c>
    </row>
    <row r="361" ht="22.5" customHeight="1">
      <c r="A361" s="5">
        <v>324.0</v>
      </c>
      <c r="B361" s="5" t="s">
        <v>77</v>
      </c>
      <c r="C361" s="5" t="s">
        <v>35</v>
      </c>
      <c r="D361" s="5" t="s">
        <v>425</v>
      </c>
      <c r="E361" s="7">
        <v>69.8</v>
      </c>
      <c r="F361" s="8">
        <v>0.042</v>
      </c>
      <c r="G361" s="7">
        <f>VLOOKUP(C361,Provinsi[[#ALL],[Daerah]:[IDI]],4,0)</f>
        <v>5.9</v>
      </c>
      <c r="H361" s="9">
        <f>VLOOKUP(C361,Provinsi[[#ALL],[Daerah]:[IDI]],5,0)</f>
        <v>86.17</v>
      </c>
      <c r="I361" s="9">
        <f>(E361 - MIN(KabKota[IPM])) / (MAX(KabKota[IPM]) - MIN(KabKota[IPM])) * 100</f>
        <v>59.85772358</v>
      </c>
      <c r="J361" s="9">
        <f>(F361 - MIN(KabKota[IKF])) / (MAX(KabKota[IKF]) - MIN(KabKota[IKF])) * 100</f>
        <v>5.25</v>
      </c>
      <c r="K361" s="9">
        <f>(G361 - MIN(KabKota[TIK])) / (MAX(KabKota[TIK]) - MIN(KabKota[TIK])) * 100</f>
        <v>54.16666667</v>
      </c>
      <c r="L361" s="9">
        <f>(H361 - MIN(KabKota[IDI])) / (MAX(KabKota[IDI]) - MIN(KabKota[IDI])) * 100</f>
        <v>96.54901961</v>
      </c>
      <c r="M361" s="9">
        <f t="shared" si="1"/>
        <v>53.95585246</v>
      </c>
      <c r="N361" s="11">
        <f>_xlfn.RANK.EQ(M361,KabKota[Rata-rata Skor])</f>
        <v>360</v>
      </c>
      <c r="O361" s="6">
        <f>COUNTIFS(KabKota[Regional], B361, KabKota[Rata-rata Skor], "&gt;"&amp;M361) + 1</f>
        <v>49</v>
      </c>
    </row>
    <row r="362" ht="22.5" customHeight="1">
      <c r="A362" s="5">
        <v>399.0</v>
      </c>
      <c r="B362" s="5" t="s">
        <v>75</v>
      </c>
      <c r="C362" s="5" t="s">
        <v>32</v>
      </c>
      <c r="D362" s="5" t="s">
        <v>426</v>
      </c>
      <c r="E362" s="7">
        <v>72.78</v>
      </c>
      <c r="F362" s="8">
        <v>0.001</v>
      </c>
      <c r="G362" s="7">
        <f>VLOOKUP(C362,Provinsi[[#ALL],[Daerah]:[IDI]],4,0)</f>
        <v>6.21</v>
      </c>
      <c r="H362" s="9">
        <f>VLOOKUP(C362,Provinsi[[#ALL],[Daerah]:[IDI]],5,0)</f>
        <v>78.93</v>
      </c>
      <c r="I362" s="9">
        <f>(E362 - MIN(KabKota[IPM])) / (MAX(KabKota[IPM]) - MIN(KabKota[IPM])) * 100</f>
        <v>65.91463415</v>
      </c>
      <c r="J362" s="9">
        <f>(F362 - MIN(KabKota[IKF])) / (MAX(KabKota[IKF]) - MIN(KabKota[IKF])) * 100</f>
        <v>0.125</v>
      </c>
      <c r="K362" s="9">
        <f>(G362 - MIN(KabKota[TIK])) / (MAX(KabKota[TIK]) - MIN(KabKota[TIK])) * 100</f>
        <v>61.34259259</v>
      </c>
      <c r="L362" s="9">
        <f>(H362 - MIN(KabKota[IDI])) / (MAX(KabKota[IDI]) - MIN(KabKota[IDI])) * 100</f>
        <v>88.43697479</v>
      </c>
      <c r="M362" s="9">
        <f t="shared" si="1"/>
        <v>53.95480038</v>
      </c>
      <c r="N362" s="11">
        <f>_xlfn.RANK.EQ(M362,KabKota[Rata-rata Skor])</f>
        <v>361</v>
      </c>
      <c r="O362" s="6">
        <f>COUNTIFS(KabKota[Regional], B362, KabKota[Rata-rata Skor], "&gt;"&amp;M362) + 1</f>
        <v>50</v>
      </c>
    </row>
    <row r="363" ht="22.5" customHeight="1">
      <c r="A363" s="5">
        <v>318.0</v>
      </c>
      <c r="B363" s="5" t="s">
        <v>77</v>
      </c>
      <c r="C363" s="5" t="s">
        <v>35</v>
      </c>
      <c r="D363" s="5" t="s">
        <v>427</v>
      </c>
      <c r="E363" s="7">
        <v>71.3</v>
      </c>
      <c r="F363" s="8">
        <v>0.017</v>
      </c>
      <c r="G363" s="7">
        <f>VLOOKUP(C363,Provinsi[[#ALL],[Daerah]:[IDI]],4,0)</f>
        <v>5.9</v>
      </c>
      <c r="H363" s="9">
        <f>VLOOKUP(C363,Provinsi[[#ALL],[Daerah]:[IDI]],5,0)</f>
        <v>86.17</v>
      </c>
      <c r="I363" s="9">
        <f>(E363 - MIN(KabKota[IPM])) / (MAX(KabKota[IPM]) - MIN(KabKota[IPM])) * 100</f>
        <v>62.90650407</v>
      </c>
      <c r="J363" s="9">
        <f>(F363 - MIN(KabKota[IKF])) / (MAX(KabKota[IKF]) - MIN(KabKota[IKF])) * 100</f>
        <v>2.125</v>
      </c>
      <c r="K363" s="9">
        <f>(G363 - MIN(KabKota[TIK])) / (MAX(KabKota[TIK]) - MIN(KabKota[TIK])) * 100</f>
        <v>54.16666667</v>
      </c>
      <c r="L363" s="9">
        <f>(H363 - MIN(KabKota[IDI])) / (MAX(KabKota[IDI]) - MIN(KabKota[IDI])) * 100</f>
        <v>96.54901961</v>
      </c>
      <c r="M363" s="9">
        <f t="shared" si="1"/>
        <v>53.93679758</v>
      </c>
      <c r="N363" s="11">
        <f>_xlfn.RANK.EQ(M363,KabKota[Rata-rata Skor])</f>
        <v>362</v>
      </c>
      <c r="O363" s="6">
        <f>COUNTIFS(KabKota[Regional], B363, KabKota[Rata-rata Skor], "&gt;"&amp;M363) + 1</f>
        <v>50</v>
      </c>
    </row>
    <row r="364" ht="22.5" customHeight="1">
      <c r="A364" s="5">
        <v>2.0</v>
      </c>
      <c r="B364" s="5" t="s">
        <v>70</v>
      </c>
      <c r="C364" s="5" t="s">
        <v>36</v>
      </c>
      <c r="D364" s="5" t="s">
        <v>428</v>
      </c>
      <c r="E364" s="7">
        <v>74.36</v>
      </c>
      <c r="F364" s="8">
        <v>0.047</v>
      </c>
      <c r="G364" s="7">
        <f>VLOOKUP(C364,Provinsi[[#ALL],[Daerah]:[IDI]],4,0)</f>
        <v>5.97</v>
      </c>
      <c r="H364" s="9">
        <f>VLOOKUP(C364,Provinsi[[#ALL],[Daerah]:[IDI]],5,0)</f>
        <v>75.8</v>
      </c>
      <c r="I364" s="9">
        <f>(E364 - MIN(KabKota[IPM])) / (MAX(KabKota[IPM]) - MIN(KabKota[IPM])) * 100</f>
        <v>69.12601626</v>
      </c>
      <c r="J364" s="9">
        <f>(F364 - MIN(KabKota[IKF])) / (MAX(KabKota[IKF]) - MIN(KabKota[IKF])) * 100</f>
        <v>5.875</v>
      </c>
      <c r="K364" s="9">
        <f>(G364 - MIN(KabKota[TIK])) / (MAX(KabKota[TIK]) - MIN(KabKota[TIK])) * 100</f>
        <v>55.78703704</v>
      </c>
      <c r="L364" s="9">
        <f>(H364 - MIN(KabKota[IDI])) / (MAX(KabKota[IDI]) - MIN(KabKota[IDI])) * 100</f>
        <v>84.92997199</v>
      </c>
      <c r="M364" s="9">
        <f t="shared" si="1"/>
        <v>53.92950632</v>
      </c>
      <c r="N364" s="11">
        <f>_xlfn.RANK.EQ(M364,KabKota[Rata-rata Skor])</f>
        <v>363</v>
      </c>
      <c r="O364" s="6">
        <f>COUNTIFS(KabKota[Regional], B364, KabKota[Rata-rata Skor], "&gt;"&amp;M364) + 1</f>
        <v>126</v>
      </c>
    </row>
    <row r="365" ht="22.5" customHeight="1">
      <c r="A365" s="5">
        <v>267.0</v>
      </c>
      <c r="B365" s="5" t="s">
        <v>63</v>
      </c>
      <c r="C365" s="5" t="s">
        <v>22</v>
      </c>
      <c r="D365" s="5" t="s">
        <v>429</v>
      </c>
      <c r="E365" s="7">
        <v>69.24</v>
      </c>
      <c r="F365" s="8">
        <v>0.027</v>
      </c>
      <c r="G365" s="7">
        <f>VLOOKUP(C365,Provinsi[[#ALL],[Daerah]:[IDI]],4,0)</f>
        <v>6.46</v>
      </c>
      <c r="H365" s="9">
        <f>VLOOKUP(C365,Provinsi[[#ALL],[Daerah]:[IDI]],5,0)</f>
        <v>76.87</v>
      </c>
      <c r="I365" s="9">
        <f>(E365 - MIN(KabKota[IPM])) / (MAX(KabKota[IPM]) - MIN(KabKota[IPM])) * 100</f>
        <v>58.7195122</v>
      </c>
      <c r="J365" s="9">
        <f>(F365 - MIN(KabKota[IKF])) / (MAX(KabKota[IKF]) - MIN(KabKota[IKF])) * 100</f>
        <v>3.375</v>
      </c>
      <c r="K365" s="9">
        <f>(G365 - MIN(KabKota[TIK])) / (MAX(KabKota[TIK]) - MIN(KabKota[TIK])) * 100</f>
        <v>67.12962963</v>
      </c>
      <c r="L365" s="9">
        <f>(H365 - MIN(KabKota[IDI])) / (MAX(KabKota[IDI]) - MIN(KabKota[IDI])) * 100</f>
        <v>86.12885154</v>
      </c>
      <c r="M365" s="9">
        <f t="shared" si="1"/>
        <v>53.83824834</v>
      </c>
      <c r="N365" s="11">
        <f>_xlfn.RANK.EQ(M365,KabKota[Rata-rata Skor])</f>
        <v>364</v>
      </c>
      <c r="O365" s="6">
        <f>COUNTIFS(KabKota[Regional], B365, KabKota[Rata-rata Skor], "&gt;"&amp;M365) + 1</f>
        <v>115</v>
      </c>
    </row>
    <row r="366" ht="22.5" customHeight="1">
      <c r="A366" s="5">
        <v>120.0</v>
      </c>
      <c r="B366" s="5" t="s">
        <v>70</v>
      </c>
      <c r="C366" s="5" t="s">
        <v>39</v>
      </c>
      <c r="D366" s="5" t="s">
        <v>430</v>
      </c>
      <c r="E366" s="7">
        <v>71.85</v>
      </c>
      <c r="F366" s="8">
        <v>0.009</v>
      </c>
      <c r="G366" s="7">
        <f>VLOOKUP(C366,Provinsi[[#ALL],[Daerah]:[IDI]],4,0)</f>
        <v>6.19</v>
      </c>
      <c r="H366" s="9">
        <f>VLOOKUP(C366,Provinsi[[#ALL],[Daerah]:[IDI]],5,0)</f>
        <v>79.66</v>
      </c>
      <c r="I366" s="9">
        <f>(E366 - MIN(KabKota[IPM])) / (MAX(KabKota[IPM]) - MIN(KabKota[IPM])) * 100</f>
        <v>64.02439024</v>
      </c>
      <c r="J366" s="9">
        <f>(F366 - MIN(KabKota[IKF])) / (MAX(KabKota[IKF]) - MIN(KabKota[IKF])) * 100</f>
        <v>1.125</v>
      </c>
      <c r="K366" s="9">
        <f>(G366 - MIN(KabKota[TIK])) / (MAX(KabKota[TIK]) - MIN(KabKota[TIK])) * 100</f>
        <v>60.87962963</v>
      </c>
      <c r="L366" s="9">
        <f>(H366 - MIN(KabKota[IDI])) / (MAX(KabKota[IDI]) - MIN(KabKota[IDI])) * 100</f>
        <v>89.25490196</v>
      </c>
      <c r="M366" s="9">
        <f t="shared" si="1"/>
        <v>53.82098046</v>
      </c>
      <c r="N366" s="11">
        <f>_xlfn.RANK.EQ(M366,KabKota[Rata-rata Skor])</f>
        <v>365</v>
      </c>
      <c r="O366" s="6">
        <f>COUNTIFS(KabKota[Regional], B366, KabKota[Rata-rata Skor], "&gt;"&amp;M366) + 1</f>
        <v>127</v>
      </c>
    </row>
    <row r="367" ht="22.5" customHeight="1">
      <c r="A367" s="5">
        <v>13.0</v>
      </c>
      <c r="B367" s="5" t="s">
        <v>70</v>
      </c>
      <c r="C367" s="5" t="s">
        <v>36</v>
      </c>
      <c r="D367" s="5" t="s">
        <v>431</v>
      </c>
      <c r="E367" s="7">
        <v>72.61</v>
      </c>
      <c r="F367" s="8">
        <v>0.071</v>
      </c>
      <c r="G367" s="7">
        <f>VLOOKUP(C367,Provinsi[[#ALL],[Daerah]:[IDI]],4,0)</f>
        <v>5.97</v>
      </c>
      <c r="H367" s="9">
        <f>VLOOKUP(C367,Provinsi[[#ALL],[Daerah]:[IDI]],5,0)</f>
        <v>75.8</v>
      </c>
      <c r="I367" s="9">
        <f>(E367 - MIN(KabKota[IPM])) / (MAX(KabKota[IPM]) - MIN(KabKota[IPM])) * 100</f>
        <v>65.56910569</v>
      </c>
      <c r="J367" s="9">
        <f>(F367 - MIN(KabKota[IKF])) / (MAX(KabKota[IKF]) - MIN(KabKota[IKF])) * 100</f>
        <v>8.875</v>
      </c>
      <c r="K367" s="9">
        <f>(G367 - MIN(KabKota[TIK])) / (MAX(KabKota[TIK]) - MIN(KabKota[TIK])) * 100</f>
        <v>55.78703704</v>
      </c>
      <c r="L367" s="9">
        <f>(H367 - MIN(KabKota[IDI])) / (MAX(KabKota[IDI]) - MIN(KabKota[IDI])) * 100</f>
        <v>84.92997199</v>
      </c>
      <c r="M367" s="9">
        <f t="shared" si="1"/>
        <v>53.79027868</v>
      </c>
      <c r="N367" s="11">
        <f>_xlfn.RANK.EQ(M367,KabKota[Rata-rata Skor])</f>
        <v>366</v>
      </c>
      <c r="O367" s="6">
        <f>COUNTIFS(KabKota[Regional], B367, KabKota[Rata-rata Skor], "&gt;"&amp;M367) + 1</f>
        <v>128</v>
      </c>
    </row>
    <row r="368" ht="22.5" customHeight="1">
      <c r="A368" s="5">
        <v>191.0</v>
      </c>
      <c r="B368" s="5" t="s">
        <v>63</v>
      </c>
      <c r="C368" s="5" t="s">
        <v>30</v>
      </c>
      <c r="D368" s="5" t="s">
        <v>432</v>
      </c>
      <c r="E368" s="7">
        <v>70.61</v>
      </c>
      <c r="F368" s="8">
        <v>0.011</v>
      </c>
      <c r="G368" s="7">
        <f>VLOOKUP(C368,Provinsi[[#ALL],[Daerah]:[IDI]],4,0)</f>
        <v>5.98</v>
      </c>
      <c r="H368" s="9">
        <f>VLOOKUP(C368,Provinsi[[#ALL],[Daerah]:[IDI]],5,0)</f>
        <v>85.84</v>
      </c>
      <c r="I368" s="9">
        <f>(E368 - MIN(KabKota[IPM])) / (MAX(KabKota[IPM]) - MIN(KabKota[IPM])) * 100</f>
        <v>61.50406504</v>
      </c>
      <c r="J368" s="9">
        <f>(F368 - MIN(KabKota[IKF])) / (MAX(KabKota[IKF]) - MIN(KabKota[IKF])) * 100</f>
        <v>1.375</v>
      </c>
      <c r="K368" s="9">
        <f>(G368 - MIN(KabKota[TIK])) / (MAX(KabKota[TIK]) - MIN(KabKota[TIK])) * 100</f>
        <v>56.01851852</v>
      </c>
      <c r="L368" s="9">
        <f>(H368 - MIN(KabKota[IDI])) / (MAX(KabKota[IDI]) - MIN(KabKota[IDI])) * 100</f>
        <v>96.17927171</v>
      </c>
      <c r="M368" s="9">
        <f t="shared" si="1"/>
        <v>53.76921382</v>
      </c>
      <c r="N368" s="11">
        <f>_xlfn.RANK.EQ(M368,KabKota[Rata-rata Skor])</f>
        <v>367</v>
      </c>
      <c r="O368" s="6">
        <f>COUNTIFS(KabKota[Regional], B368, KabKota[Rata-rata Skor], "&gt;"&amp;M368) + 1</f>
        <v>116</v>
      </c>
    </row>
    <row r="369" ht="22.5" customHeight="1">
      <c r="A369" s="5">
        <v>64.0</v>
      </c>
      <c r="B369" s="5" t="s">
        <v>70</v>
      </c>
      <c r="C369" s="5" t="s">
        <v>34</v>
      </c>
      <c r="D369" s="5" t="s">
        <v>433</v>
      </c>
      <c r="E369" s="7">
        <v>71.6</v>
      </c>
      <c r="F369" s="8">
        <v>0.003</v>
      </c>
      <c r="G369" s="7">
        <f>VLOOKUP(C369,Provinsi[[#ALL],[Daerah]:[IDI]],4,0)</f>
        <v>6.27</v>
      </c>
      <c r="H369" s="9">
        <f>VLOOKUP(C369,Provinsi[[#ALL],[Daerah]:[IDI]],5,0)</f>
        <v>78.83</v>
      </c>
      <c r="I369" s="9">
        <f>(E369 - MIN(KabKota[IPM])) / (MAX(KabKota[IPM]) - MIN(KabKota[IPM])) * 100</f>
        <v>63.51626016</v>
      </c>
      <c r="J369" s="9">
        <f>(F369 - MIN(KabKota[IKF])) / (MAX(KabKota[IKF]) - MIN(KabKota[IKF])) * 100</f>
        <v>0.375</v>
      </c>
      <c r="K369" s="9">
        <f>(G369 - MIN(KabKota[TIK])) / (MAX(KabKota[TIK]) - MIN(KabKota[TIK])) * 100</f>
        <v>62.73148148</v>
      </c>
      <c r="L369" s="9">
        <f>(H369 - MIN(KabKota[IDI])) / (MAX(KabKota[IDI]) - MIN(KabKota[IDI])) * 100</f>
        <v>88.32492997</v>
      </c>
      <c r="M369" s="9">
        <f t="shared" si="1"/>
        <v>53.7369179</v>
      </c>
      <c r="N369" s="11">
        <f>_xlfn.RANK.EQ(M369,KabKota[Rata-rata Skor])</f>
        <v>368</v>
      </c>
      <c r="O369" s="6">
        <f>COUNTIFS(KabKota[Regional], B369, KabKota[Rata-rata Skor], "&gt;"&amp;M369) + 1</f>
        <v>129</v>
      </c>
    </row>
    <row r="370" ht="22.5" customHeight="1">
      <c r="A370" s="5">
        <v>466.0</v>
      </c>
      <c r="B370" s="5" t="s">
        <v>180</v>
      </c>
      <c r="C370" s="5" t="s">
        <v>51</v>
      </c>
      <c r="D370" s="5" t="s">
        <v>434</v>
      </c>
      <c r="E370" s="7">
        <v>69.05</v>
      </c>
      <c r="F370" s="8">
        <v>0.252</v>
      </c>
      <c r="G370" s="7">
        <f>VLOOKUP(C370,Provinsi[[#ALL],[Daerah]:[IDI]],4,0)</f>
        <v>5.68</v>
      </c>
      <c r="H370" s="9">
        <f>VLOOKUP(C370,Provinsi[[#ALL],[Daerah]:[IDI]],5,0)</f>
        <v>67.8</v>
      </c>
      <c r="I370" s="9">
        <f>(E370 - MIN(KabKota[IPM])) / (MAX(KabKota[IPM]) - MIN(KabKota[IPM])) * 100</f>
        <v>58.33333333</v>
      </c>
      <c r="J370" s="9">
        <f>(F370 - MIN(KabKota[IKF])) / (MAX(KabKota[IKF]) - MIN(KabKota[IKF])) * 100</f>
        <v>31.5</v>
      </c>
      <c r="K370" s="9">
        <f>(G370 - MIN(KabKota[TIK])) / (MAX(KabKota[TIK]) - MIN(KabKota[TIK])) * 100</f>
        <v>49.07407407</v>
      </c>
      <c r="L370" s="9">
        <f>(H370 - MIN(KabKota[IDI])) / (MAX(KabKota[IDI]) - MIN(KabKota[IDI])) * 100</f>
        <v>75.96638655</v>
      </c>
      <c r="M370" s="9">
        <f t="shared" si="1"/>
        <v>53.71844849</v>
      </c>
      <c r="N370" s="11">
        <f>_xlfn.RANK.EQ(M370,KabKota[Rata-rata Skor])</f>
        <v>369</v>
      </c>
      <c r="O370" s="6">
        <f>COUNTIFS(KabKota[Regional], B370, KabKota[Rata-rata Skor], "&gt;"&amp;M370) + 1</f>
        <v>8</v>
      </c>
    </row>
    <row r="371" ht="22.5" customHeight="1">
      <c r="A371" s="5">
        <v>10.0</v>
      </c>
      <c r="B371" s="5" t="s">
        <v>70</v>
      </c>
      <c r="C371" s="5" t="s">
        <v>36</v>
      </c>
      <c r="D371" s="5" t="s">
        <v>435</v>
      </c>
      <c r="E371" s="7">
        <v>72.62</v>
      </c>
      <c r="F371" s="8">
        <v>0.065</v>
      </c>
      <c r="G371" s="7">
        <f>VLOOKUP(C371,Provinsi[[#ALL],[Daerah]:[IDI]],4,0)</f>
        <v>5.97</v>
      </c>
      <c r="H371" s="9">
        <f>VLOOKUP(C371,Provinsi[[#ALL],[Daerah]:[IDI]],5,0)</f>
        <v>75.8</v>
      </c>
      <c r="I371" s="9">
        <f>(E371 - MIN(KabKota[IPM])) / (MAX(KabKota[IPM]) - MIN(KabKota[IPM])) * 100</f>
        <v>65.58943089</v>
      </c>
      <c r="J371" s="9">
        <f>(F371 - MIN(KabKota[IKF])) / (MAX(KabKota[IKF]) - MIN(KabKota[IKF])) * 100</f>
        <v>8.125</v>
      </c>
      <c r="K371" s="9">
        <f>(G371 - MIN(KabKota[TIK])) / (MAX(KabKota[TIK]) - MIN(KabKota[TIK])) * 100</f>
        <v>55.78703704</v>
      </c>
      <c r="L371" s="9">
        <f>(H371 - MIN(KabKota[IDI])) / (MAX(KabKota[IDI]) - MIN(KabKota[IDI])) * 100</f>
        <v>84.92997199</v>
      </c>
      <c r="M371" s="9">
        <f t="shared" si="1"/>
        <v>53.60785998</v>
      </c>
      <c r="N371" s="11">
        <f>_xlfn.RANK.EQ(M371,KabKota[Rata-rata Skor])</f>
        <v>370</v>
      </c>
      <c r="O371" s="6">
        <f>COUNTIFS(KabKota[Regional], B371, KabKota[Rata-rata Skor], "&gt;"&amp;M371) + 1</f>
        <v>130</v>
      </c>
    </row>
    <row r="372" ht="22.5" customHeight="1">
      <c r="A372" s="5">
        <v>321.0</v>
      </c>
      <c r="B372" s="5" t="s">
        <v>77</v>
      </c>
      <c r="C372" s="5" t="s">
        <v>35</v>
      </c>
      <c r="D372" s="5" t="s">
        <v>436</v>
      </c>
      <c r="E372" s="7">
        <v>70.99</v>
      </c>
      <c r="F372" s="8">
        <v>0.01</v>
      </c>
      <c r="G372" s="7">
        <f>VLOOKUP(C372,Provinsi[[#ALL],[Daerah]:[IDI]],4,0)</f>
        <v>5.9</v>
      </c>
      <c r="H372" s="9">
        <f>VLOOKUP(C372,Provinsi[[#ALL],[Daerah]:[IDI]],5,0)</f>
        <v>86.17</v>
      </c>
      <c r="I372" s="9">
        <f>(E372 - MIN(KabKota[IPM])) / (MAX(KabKota[IPM]) - MIN(KabKota[IPM])) * 100</f>
        <v>62.27642276</v>
      </c>
      <c r="J372" s="9">
        <f>(F372 - MIN(KabKota[IKF])) / (MAX(KabKota[IKF]) - MIN(KabKota[IKF])) * 100</f>
        <v>1.25</v>
      </c>
      <c r="K372" s="9">
        <f>(G372 - MIN(KabKota[TIK])) / (MAX(KabKota[TIK]) - MIN(KabKota[TIK])) * 100</f>
        <v>54.16666667</v>
      </c>
      <c r="L372" s="9">
        <f>(H372 - MIN(KabKota[IDI])) / (MAX(KabKota[IDI]) - MIN(KabKota[IDI])) * 100</f>
        <v>96.54901961</v>
      </c>
      <c r="M372" s="9">
        <f t="shared" si="1"/>
        <v>53.56052726</v>
      </c>
      <c r="N372" s="11">
        <f>_xlfn.RANK.EQ(M372,KabKota[Rata-rata Skor])</f>
        <v>371</v>
      </c>
      <c r="O372" s="6">
        <f>COUNTIFS(KabKota[Regional], B372, KabKota[Rata-rata Skor], "&gt;"&amp;M372) + 1</f>
        <v>51</v>
      </c>
    </row>
    <row r="373" ht="22.5" customHeight="1">
      <c r="A373" s="5">
        <v>9.0</v>
      </c>
      <c r="B373" s="5" t="s">
        <v>70</v>
      </c>
      <c r="C373" s="5" t="s">
        <v>36</v>
      </c>
      <c r="D373" s="5" t="s">
        <v>437</v>
      </c>
      <c r="E373" s="7">
        <v>71.94</v>
      </c>
      <c r="F373" s="8">
        <v>0.073</v>
      </c>
      <c r="G373" s="7">
        <f>VLOOKUP(C373,Provinsi[[#ALL],[Daerah]:[IDI]],4,0)</f>
        <v>5.97</v>
      </c>
      <c r="H373" s="9">
        <f>VLOOKUP(C373,Provinsi[[#ALL],[Daerah]:[IDI]],5,0)</f>
        <v>75.8</v>
      </c>
      <c r="I373" s="9">
        <f>(E373 - MIN(KabKota[IPM])) / (MAX(KabKota[IPM]) - MIN(KabKota[IPM])) * 100</f>
        <v>64.20731707</v>
      </c>
      <c r="J373" s="9">
        <f>(F373 - MIN(KabKota[IKF])) / (MAX(KabKota[IKF]) - MIN(KabKota[IKF])) * 100</f>
        <v>9.125</v>
      </c>
      <c r="K373" s="9">
        <f>(G373 - MIN(KabKota[TIK])) / (MAX(KabKota[TIK]) - MIN(KabKota[TIK])) * 100</f>
        <v>55.78703704</v>
      </c>
      <c r="L373" s="9">
        <f>(H373 - MIN(KabKota[IDI])) / (MAX(KabKota[IDI]) - MIN(KabKota[IDI])) * 100</f>
        <v>84.92997199</v>
      </c>
      <c r="M373" s="9">
        <f t="shared" si="1"/>
        <v>53.51233152</v>
      </c>
      <c r="N373" s="11">
        <f>_xlfn.RANK.EQ(M373,KabKota[Rata-rata Skor])</f>
        <v>372</v>
      </c>
      <c r="O373" s="6">
        <f>COUNTIFS(KabKota[Regional], B373, KabKota[Rata-rata Skor], "&gt;"&amp;M373) + 1</f>
        <v>131</v>
      </c>
    </row>
    <row r="374" ht="22.5" customHeight="1">
      <c r="A374" s="5">
        <v>23.0</v>
      </c>
      <c r="B374" s="5" t="s">
        <v>70</v>
      </c>
      <c r="C374" s="5" t="s">
        <v>36</v>
      </c>
      <c r="D374" s="5" t="s">
        <v>438</v>
      </c>
      <c r="E374" s="7">
        <v>71.63</v>
      </c>
      <c r="F374" s="8">
        <v>0.078</v>
      </c>
      <c r="G374" s="7">
        <f>VLOOKUP(C374,Provinsi[[#ALL],[Daerah]:[IDI]],4,0)</f>
        <v>5.97</v>
      </c>
      <c r="H374" s="9">
        <f>VLOOKUP(C374,Provinsi[[#ALL],[Daerah]:[IDI]],5,0)</f>
        <v>75.8</v>
      </c>
      <c r="I374" s="9">
        <f>(E374 - MIN(KabKota[IPM])) / (MAX(KabKota[IPM]) - MIN(KabKota[IPM])) * 100</f>
        <v>63.57723577</v>
      </c>
      <c r="J374" s="9">
        <f>(F374 - MIN(KabKota[IKF])) / (MAX(KabKota[IKF]) - MIN(KabKota[IKF])) * 100</f>
        <v>9.75</v>
      </c>
      <c r="K374" s="9">
        <f>(G374 - MIN(KabKota[TIK])) / (MAX(KabKota[TIK]) - MIN(KabKota[TIK])) * 100</f>
        <v>55.78703704</v>
      </c>
      <c r="L374" s="9">
        <f>(H374 - MIN(KabKota[IDI])) / (MAX(KabKota[IDI]) - MIN(KabKota[IDI])) * 100</f>
        <v>84.92997199</v>
      </c>
      <c r="M374" s="9">
        <f t="shared" si="1"/>
        <v>53.5110612</v>
      </c>
      <c r="N374" s="11">
        <f>_xlfn.RANK.EQ(M374,KabKota[Rata-rata Skor])</f>
        <v>373</v>
      </c>
      <c r="O374" s="6">
        <f>COUNTIFS(KabKota[Regional], B374, KabKota[Rata-rata Skor], "&gt;"&amp;M374) + 1</f>
        <v>132</v>
      </c>
    </row>
    <row r="375" ht="22.5" customHeight="1">
      <c r="A375" s="5">
        <v>368.0</v>
      </c>
      <c r="B375" s="5" t="s">
        <v>77</v>
      </c>
      <c r="C375" s="5" t="s">
        <v>42</v>
      </c>
      <c r="D375" s="5" t="s">
        <v>439</v>
      </c>
      <c r="E375" s="7">
        <v>69.87</v>
      </c>
      <c r="F375" s="8">
        <v>0.013</v>
      </c>
      <c r="G375" s="7">
        <f>VLOOKUP(C375,Provinsi[[#ALL],[Daerah]:[IDI]],4,0)</f>
        <v>6.4</v>
      </c>
      <c r="H375" s="9">
        <f>VLOOKUP(C375,Provinsi[[#ALL],[Daerah]:[IDI]],5,0)</f>
        <v>77.35</v>
      </c>
      <c r="I375" s="9">
        <f>(E375 - MIN(KabKota[IPM])) / (MAX(KabKota[IPM]) - MIN(KabKota[IPM])) * 100</f>
        <v>60</v>
      </c>
      <c r="J375" s="9">
        <f>(F375 - MIN(KabKota[IKF])) / (MAX(KabKota[IKF]) - MIN(KabKota[IKF])) * 100</f>
        <v>1.625</v>
      </c>
      <c r="K375" s="9">
        <f>(G375 - MIN(KabKota[TIK])) / (MAX(KabKota[TIK]) - MIN(KabKota[TIK])) * 100</f>
        <v>65.74074074</v>
      </c>
      <c r="L375" s="9">
        <f>(H375 - MIN(KabKota[IDI])) / (MAX(KabKota[IDI]) - MIN(KabKota[IDI])) * 100</f>
        <v>86.66666667</v>
      </c>
      <c r="M375" s="9">
        <f t="shared" si="1"/>
        <v>53.50810185</v>
      </c>
      <c r="N375" s="11">
        <f>_xlfn.RANK.EQ(M375,KabKota[Rata-rata Skor])</f>
        <v>374</v>
      </c>
      <c r="O375" s="6">
        <f>COUNTIFS(KabKota[Regional], B375, KabKota[Rata-rata Skor], "&gt;"&amp;M375) + 1</f>
        <v>52</v>
      </c>
    </row>
    <row r="376" ht="22.5" customHeight="1">
      <c r="A376" s="5">
        <v>79.0</v>
      </c>
      <c r="B376" s="5" t="s">
        <v>70</v>
      </c>
      <c r="C376" s="5" t="s">
        <v>33</v>
      </c>
      <c r="D376" s="5" t="s">
        <v>440</v>
      </c>
      <c r="E376" s="7">
        <v>70.74</v>
      </c>
      <c r="F376" s="8">
        <v>0.025</v>
      </c>
      <c r="G376" s="7">
        <f>VLOOKUP(C376,Provinsi[[#ALL],[Daerah]:[IDI]],4,0)</f>
        <v>6.27</v>
      </c>
      <c r="H376" s="9">
        <f>VLOOKUP(C376,Provinsi[[#ALL],[Daerah]:[IDI]],5,0)</f>
        <v>77.06</v>
      </c>
      <c r="I376" s="9">
        <f>(E376 - MIN(KabKota[IPM])) / (MAX(KabKota[IPM]) - MIN(KabKota[IPM])) * 100</f>
        <v>61.76829268</v>
      </c>
      <c r="J376" s="9">
        <f>(F376 - MIN(KabKota[IKF])) / (MAX(KabKota[IKF]) - MIN(KabKota[IKF])) * 100</f>
        <v>3.125</v>
      </c>
      <c r="K376" s="9">
        <f>(G376 - MIN(KabKota[TIK])) / (MAX(KabKota[TIK]) - MIN(KabKota[TIK])) * 100</f>
        <v>62.73148148</v>
      </c>
      <c r="L376" s="9">
        <f>(H376 - MIN(KabKota[IDI])) / (MAX(KabKota[IDI]) - MIN(KabKota[IDI])) * 100</f>
        <v>86.34173669</v>
      </c>
      <c r="M376" s="9">
        <f t="shared" si="1"/>
        <v>53.49162771</v>
      </c>
      <c r="N376" s="11">
        <f>_xlfn.RANK.EQ(M376,KabKota[Rata-rata Skor])</f>
        <v>375</v>
      </c>
      <c r="O376" s="6">
        <f>COUNTIFS(KabKota[Regional], B376, KabKota[Rata-rata Skor], "&gt;"&amp;M376) + 1</f>
        <v>133</v>
      </c>
    </row>
    <row r="377" ht="22.5" customHeight="1">
      <c r="A377" s="5">
        <v>429.0</v>
      </c>
      <c r="B377" s="5" t="s">
        <v>75</v>
      </c>
      <c r="C377" s="5" t="s">
        <v>46</v>
      </c>
      <c r="D377" s="5" t="s">
        <v>441</v>
      </c>
      <c r="E377" s="7">
        <v>72.59</v>
      </c>
      <c r="F377" s="8">
        <v>0.03</v>
      </c>
      <c r="G377" s="7">
        <f>VLOOKUP(C377,Provinsi[[#ALL],[Daerah]:[IDI]],4,0)</f>
        <v>6.03</v>
      </c>
      <c r="H377" s="9">
        <f>VLOOKUP(C377,Provinsi[[#ALL],[Daerah]:[IDI]],5,0)</f>
        <v>78.04</v>
      </c>
      <c r="I377" s="9">
        <f>(E377 - MIN(KabKota[IPM])) / (MAX(KabKota[IPM]) - MIN(KabKota[IPM])) * 100</f>
        <v>65.52845528</v>
      </c>
      <c r="J377" s="9">
        <f>(F377 - MIN(KabKota[IKF])) / (MAX(KabKota[IKF]) - MIN(KabKota[IKF])) * 100</f>
        <v>3.75</v>
      </c>
      <c r="K377" s="9">
        <f>(G377 - MIN(KabKota[TIK])) / (MAX(KabKota[TIK]) - MIN(KabKota[TIK])) * 100</f>
        <v>57.17592593</v>
      </c>
      <c r="L377" s="9">
        <f>(H377 - MIN(KabKota[IDI])) / (MAX(KabKota[IDI]) - MIN(KabKota[IDI])) * 100</f>
        <v>87.43977591</v>
      </c>
      <c r="M377" s="9">
        <f t="shared" si="1"/>
        <v>53.47353928</v>
      </c>
      <c r="N377" s="11">
        <f>_xlfn.RANK.EQ(M377,KabKota[Rata-rata Skor])</f>
        <v>376</v>
      </c>
      <c r="O377" s="6">
        <f>COUNTIFS(KabKota[Regional], B377, KabKota[Rata-rata Skor], "&gt;"&amp;M377) + 1</f>
        <v>51</v>
      </c>
    </row>
    <row r="378" ht="22.5" customHeight="1">
      <c r="A378" s="5">
        <v>380.0</v>
      </c>
      <c r="B378" s="5" t="s">
        <v>75</v>
      </c>
      <c r="C378" s="5" t="s">
        <v>37</v>
      </c>
      <c r="D378" s="5" t="s">
        <v>442</v>
      </c>
      <c r="E378" s="7">
        <v>71.43</v>
      </c>
      <c r="F378" s="8">
        <v>0.014</v>
      </c>
      <c r="G378" s="7">
        <f>VLOOKUP(C378,Provinsi[[#ALL],[Daerah]:[IDI]],4,0)</f>
        <v>6.03</v>
      </c>
      <c r="H378" s="9">
        <f>VLOOKUP(C378,Provinsi[[#ALL],[Daerah]:[IDI]],5,0)</f>
        <v>81.87</v>
      </c>
      <c r="I378" s="9">
        <f>(E378 - MIN(KabKota[IPM])) / (MAX(KabKota[IPM]) - MIN(KabKota[IPM])) * 100</f>
        <v>63.17073171</v>
      </c>
      <c r="J378" s="9">
        <f>(F378 - MIN(KabKota[IKF])) / (MAX(KabKota[IKF]) - MIN(KabKota[IKF])) * 100</f>
        <v>1.75</v>
      </c>
      <c r="K378" s="9">
        <f>(G378 - MIN(KabKota[TIK])) / (MAX(KabKota[TIK]) - MIN(KabKota[TIK])) * 100</f>
        <v>57.17592593</v>
      </c>
      <c r="L378" s="9">
        <f>(H378 - MIN(KabKota[IDI])) / (MAX(KabKota[IDI]) - MIN(KabKota[IDI])) * 100</f>
        <v>91.73109244</v>
      </c>
      <c r="M378" s="9">
        <f t="shared" si="1"/>
        <v>53.45693752</v>
      </c>
      <c r="N378" s="11">
        <f>_xlfn.RANK.EQ(M378,KabKota[Rata-rata Skor])</f>
        <v>377</v>
      </c>
      <c r="O378" s="6">
        <f>COUNTIFS(KabKota[Regional], B378, KabKota[Rata-rata Skor], "&gt;"&amp;M378) + 1</f>
        <v>52</v>
      </c>
    </row>
    <row r="379" ht="22.5" customHeight="1">
      <c r="A379" s="5">
        <v>462.0</v>
      </c>
      <c r="B379" s="5" t="s">
        <v>180</v>
      </c>
      <c r="C379" s="5" t="s">
        <v>49</v>
      </c>
      <c r="D379" s="5" t="s">
        <v>443</v>
      </c>
      <c r="E379" s="7">
        <v>72.88</v>
      </c>
      <c r="F379" s="8">
        <v>0.15</v>
      </c>
      <c r="G379" s="7">
        <f>VLOOKUP(C379,Provinsi[[#ALL],[Daerah]:[IDI]],4,0)</f>
        <v>5.84</v>
      </c>
      <c r="H379" s="9">
        <f>VLOOKUP(C379,Provinsi[[#ALL],[Daerah]:[IDI]],5,0)</f>
        <v>67.98</v>
      </c>
      <c r="I379" s="9">
        <f>(E379 - MIN(KabKota[IPM])) / (MAX(KabKota[IPM]) - MIN(KabKota[IPM])) * 100</f>
        <v>66.11788618</v>
      </c>
      <c r="J379" s="9">
        <f>(F379 - MIN(KabKota[IKF])) / (MAX(KabKota[IKF]) - MIN(KabKota[IKF])) * 100</f>
        <v>18.75</v>
      </c>
      <c r="K379" s="9">
        <f>(G379 - MIN(KabKota[TIK])) / (MAX(KabKota[TIK]) - MIN(KabKota[TIK])) * 100</f>
        <v>52.77777778</v>
      </c>
      <c r="L379" s="9">
        <f>(H379 - MIN(KabKota[IDI])) / (MAX(KabKota[IDI]) - MIN(KabKota[IDI])) * 100</f>
        <v>76.16806723</v>
      </c>
      <c r="M379" s="9">
        <f t="shared" si="1"/>
        <v>53.4534328</v>
      </c>
      <c r="N379" s="11">
        <f>_xlfn.RANK.EQ(M379,KabKota[Rata-rata Skor])</f>
        <v>378</v>
      </c>
      <c r="O379" s="6">
        <f>COUNTIFS(KabKota[Regional], B379, KabKota[Rata-rata Skor], "&gt;"&amp;M379) + 1</f>
        <v>9</v>
      </c>
    </row>
    <row r="380" ht="22.5" customHeight="1">
      <c r="A380" s="5">
        <v>317.0</v>
      </c>
      <c r="B380" s="5" t="s">
        <v>77</v>
      </c>
      <c r="C380" s="5" t="s">
        <v>35</v>
      </c>
      <c r="D380" s="5" t="s">
        <v>444</v>
      </c>
      <c r="E380" s="7">
        <v>70.36</v>
      </c>
      <c r="F380" s="8">
        <v>0.015</v>
      </c>
      <c r="G380" s="7">
        <f>VLOOKUP(C380,Provinsi[[#ALL],[Daerah]:[IDI]],4,0)</f>
        <v>5.9</v>
      </c>
      <c r="H380" s="9">
        <f>VLOOKUP(C380,Provinsi[[#ALL],[Daerah]:[IDI]],5,0)</f>
        <v>86.17</v>
      </c>
      <c r="I380" s="9">
        <f>(E380 - MIN(KabKota[IPM])) / (MAX(KabKota[IPM]) - MIN(KabKota[IPM])) * 100</f>
        <v>60.99593496</v>
      </c>
      <c r="J380" s="9">
        <f>(F380 - MIN(KabKota[IKF])) / (MAX(KabKota[IKF]) - MIN(KabKota[IKF])) * 100</f>
        <v>1.875</v>
      </c>
      <c r="K380" s="9">
        <f>(G380 - MIN(KabKota[TIK])) / (MAX(KabKota[TIK]) - MIN(KabKota[TIK])) * 100</f>
        <v>54.16666667</v>
      </c>
      <c r="L380" s="9">
        <f>(H380 - MIN(KabKota[IDI])) / (MAX(KabKota[IDI]) - MIN(KabKota[IDI])) * 100</f>
        <v>96.54901961</v>
      </c>
      <c r="M380" s="9">
        <f t="shared" si="1"/>
        <v>53.39665531</v>
      </c>
      <c r="N380" s="11">
        <f>_xlfn.RANK.EQ(M380,KabKota[Rata-rata Skor])</f>
        <v>379</v>
      </c>
      <c r="O380" s="6">
        <f>COUNTIFS(KabKota[Regional], B380, KabKota[Rata-rata Skor], "&gt;"&amp;M380) + 1</f>
        <v>53</v>
      </c>
    </row>
    <row r="381" ht="22.5" customHeight="1">
      <c r="A381" s="5">
        <v>488.0</v>
      </c>
      <c r="B381" s="5" t="s">
        <v>180</v>
      </c>
      <c r="C381" s="5" t="s">
        <v>26</v>
      </c>
      <c r="D381" s="5" t="s">
        <v>445</v>
      </c>
      <c r="E381" s="7">
        <v>59.53</v>
      </c>
      <c r="F381" s="8">
        <v>0.431</v>
      </c>
      <c r="G381" s="7">
        <f>VLOOKUP(C381,Provinsi[[#ALL],[Daerah]:[IDI]],4,0)</f>
        <v>5.61</v>
      </c>
      <c r="H381" s="9">
        <f>VLOOKUP(C381,Provinsi[[#ALL],[Daerah]:[IDI]],5,0)</f>
        <v>64.74</v>
      </c>
      <c r="I381" s="9">
        <f>(E381 - MIN(KabKota[IPM])) / (MAX(KabKota[IPM]) - MIN(KabKota[IPM])) * 100</f>
        <v>38.98373984</v>
      </c>
      <c r="J381" s="9">
        <f>(F381 - MIN(KabKota[IKF])) / (MAX(KabKota[IKF]) - MIN(KabKota[IKF])) * 100</f>
        <v>53.875</v>
      </c>
      <c r="K381" s="9">
        <f>(G381 - MIN(KabKota[TIK])) / (MAX(KabKota[TIK]) - MIN(KabKota[TIK])) * 100</f>
        <v>47.4537037</v>
      </c>
      <c r="L381" s="9">
        <f>(H381 - MIN(KabKota[IDI])) / (MAX(KabKota[IDI]) - MIN(KabKota[IDI])) * 100</f>
        <v>72.53781513</v>
      </c>
      <c r="M381" s="9">
        <f t="shared" si="1"/>
        <v>53.21256467</v>
      </c>
      <c r="N381" s="11">
        <f>_xlfn.RANK.EQ(M381,KabKota[Rata-rata Skor])</f>
        <v>380</v>
      </c>
      <c r="O381" s="6">
        <f>COUNTIFS(KabKota[Regional], B381, KabKota[Rata-rata Skor], "&gt;"&amp;M381) + 1</f>
        <v>10</v>
      </c>
    </row>
    <row r="382" ht="22.5" customHeight="1">
      <c r="A382" s="5">
        <v>432.0</v>
      </c>
      <c r="B382" s="5" t="s">
        <v>75</v>
      </c>
      <c r="C382" s="5" t="s">
        <v>46</v>
      </c>
      <c r="D382" s="5" t="s">
        <v>446</v>
      </c>
      <c r="E382" s="7">
        <v>71.29</v>
      </c>
      <c r="F382" s="8">
        <v>0.041</v>
      </c>
      <c r="G382" s="7">
        <f>VLOOKUP(C382,Provinsi[[#ALL],[Daerah]:[IDI]],4,0)</f>
        <v>6.03</v>
      </c>
      <c r="H382" s="9">
        <f>VLOOKUP(C382,Provinsi[[#ALL],[Daerah]:[IDI]],5,0)</f>
        <v>78.04</v>
      </c>
      <c r="I382" s="9">
        <f>(E382 - MIN(KabKota[IPM])) / (MAX(KabKota[IPM]) - MIN(KabKota[IPM])) * 100</f>
        <v>62.88617886</v>
      </c>
      <c r="J382" s="9">
        <f>(F382 - MIN(KabKota[IKF])) / (MAX(KabKota[IKF]) - MIN(KabKota[IKF])) * 100</f>
        <v>5.125</v>
      </c>
      <c r="K382" s="9">
        <f>(G382 - MIN(KabKota[TIK])) / (MAX(KabKota[TIK]) - MIN(KabKota[TIK])) * 100</f>
        <v>57.17592593</v>
      </c>
      <c r="L382" s="9">
        <f>(H382 - MIN(KabKota[IDI])) / (MAX(KabKota[IDI]) - MIN(KabKota[IDI])) * 100</f>
        <v>87.43977591</v>
      </c>
      <c r="M382" s="9">
        <f t="shared" si="1"/>
        <v>53.15672017</v>
      </c>
      <c r="N382" s="11">
        <f>_xlfn.RANK.EQ(M382,KabKota[Rata-rata Skor])</f>
        <v>381</v>
      </c>
      <c r="O382" s="6">
        <f>COUNTIFS(KabKota[Regional], B382, KabKota[Rata-rata Skor], "&gt;"&amp;M382) + 1</f>
        <v>53</v>
      </c>
    </row>
    <row r="383" ht="22.5" customHeight="1">
      <c r="A383" s="5">
        <v>143.0</v>
      </c>
      <c r="B383" s="5" t="s">
        <v>70</v>
      </c>
      <c r="C383" s="5" t="s">
        <v>44</v>
      </c>
      <c r="D383" s="5" t="s">
        <v>447</v>
      </c>
      <c r="E383" s="7">
        <v>70.83</v>
      </c>
      <c r="F383" s="8">
        <v>0.008</v>
      </c>
      <c r="G383" s="7">
        <f>VLOOKUP(C383,Provinsi[[#ALL],[Daerah]:[IDI]],4,0)</f>
        <v>6.06</v>
      </c>
      <c r="H383" s="9">
        <f>VLOOKUP(C383,Provinsi[[#ALL],[Daerah]:[IDI]],5,0)</f>
        <v>81.91</v>
      </c>
      <c r="I383" s="9">
        <f>(E383 - MIN(KabKota[IPM])) / (MAX(KabKota[IPM]) - MIN(KabKota[IPM])) * 100</f>
        <v>61.95121951</v>
      </c>
      <c r="J383" s="9">
        <f>(F383 - MIN(KabKota[IKF])) / (MAX(KabKota[IKF]) - MIN(KabKota[IKF])) * 100</f>
        <v>1</v>
      </c>
      <c r="K383" s="9">
        <f>(G383 - MIN(KabKota[TIK])) / (MAX(KabKota[TIK]) - MIN(KabKota[TIK])) * 100</f>
        <v>57.87037037</v>
      </c>
      <c r="L383" s="9">
        <f>(H383 - MIN(KabKota[IDI])) / (MAX(KabKota[IDI]) - MIN(KabKota[IDI])) * 100</f>
        <v>91.77591036</v>
      </c>
      <c r="M383" s="9">
        <f t="shared" si="1"/>
        <v>53.14937506</v>
      </c>
      <c r="N383" s="11">
        <f>_xlfn.RANK.EQ(M383,KabKota[Rata-rata Skor])</f>
        <v>382</v>
      </c>
      <c r="O383" s="6">
        <f>COUNTIFS(KabKota[Regional], B383, KabKota[Rata-rata Skor], "&gt;"&amp;M383) + 1</f>
        <v>134</v>
      </c>
    </row>
    <row r="384" ht="22.5" customHeight="1">
      <c r="A384" s="5">
        <v>1.0</v>
      </c>
      <c r="B384" s="5" t="s">
        <v>70</v>
      </c>
      <c r="C384" s="5" t="s">
        <v>36</v>
      </c>
      <c r="D384" s="5" t="s">
        <v>448</v>
      </c>
      <c r="E384" s="7">
        <v>72.79</v>
      </c>
      <c r="F384" s="8">
        <v>0.047</v>
      </c>
      <c r="G384" s="7">
        <f>VLOOKUP(C384,Provinsi[[#ALL],[Daerah]:[IDI]],4,0)</f>
        <v>5.97</v>
      </c>
      <c r="H384" s="7">
        <f>VLOOKUP(C384,Provinsi[[#ALL],[Daerah]:[IDI]],5,0)</f>
        <v>75.8</v>
      </c>
      <c r="I384" s="7">
        <f>(E384 - MIN(KabKota[IPM])) / (MAX(KabKota[IPM]) - MIN(KabKota[IPM])) * 100</f>
        <v>65.93495935</v>
      </c>
      <c r="J384" s="7">
        <f>(F384 - MIN(KabKota[IKF])) / (MAX(KabKota[IKF]) - MIN(KabKota[IKF])) * 100</f>
        <v>5.875</v>
      </c>
      <c r="K384" s="7">
        <f>(G384 - MIN(KabKota[TIK])) / (MAX(KabKota[TIK]) - MIN(KabKota[TIK])) * 100</f>
        <v>55.78703704</v>
      </c>
      <c r="L384" s="7">
        <f>(H384 - MIN(KabKota[IDI])) / (MAX(KabKota[IDI]) - MIN(KabKota[IDI])) * 100</f>
        <v>84.92997199</v>
      </c>
      <c r="M384" s="9">
        <f t="shared" si="1"/>
        <v>53.13174209</v>
      </c>
      <c r="N384" s="6">
        <f>_xlfn.RANK.EQ(M384,KabKota[Rata-rata Skor])</f>
        <v>383</v>
      </c>
      <c r="O384" s="6">
        <f>COUNTIFS(KabKota[Regional], B384, KabKota[Rata-rata Skor], "&gt;"&amp;M384) + 1</f>
        <v>135</v>
      </c>
    </row>
    <row r="385" ht="22.5" customHeight="1">
      <c r="A385" s="5">
        <v>109.0</v>
      </c>
      <c r="B385" s="5" t="s">
        <v>70</v>
      </c>
      <c r="C385" s="5" t="s">
        <v>29</v>
      </c>
      <c r="D385" s="5" t="s">
        <v>449</v>
      </c>
      <c r="E385" s="7">
        <v>70.56</v>
      </c>
      <c r="F385" s="8">
        <v>0.019</v>
      </c>
      <c r="G385" s="7">
        <f>VLOOKUP(C385,Provinsi[[#ALL],[Daerah]:[IDI]],4,0)</f>
        <v>5.97</v>
      </c>
      <c r="H385" s="9">
        <f>VLOOKUP(C385,Provinsi[[#ALL],[Daerah]:[IDI]],5,0)</f>
        <v>82.71</v>
      </c>
      <c r="I385" s="9">
        <f>(E385 - MIN(KabKota[IPM])) / (MAX(KabKota[IPM]) - MIN(KabKota[IPM])) * 100</f>
        <v>61.40243902</v>
      </c>
      <c r="J385" s="9">
        <f>(F385 - MIN(KabKota[IKF])) / (MAX(KabKota[IKF]) - MIN(KabKota[IKF])) * 100</f>
        <v>2.375</v>
      </c>
      <c r="K385" s="9">
        <f>(G385 - MIN(KabKota[TIK])) / (MAX(KabKota[TIK]) - MIN(KabKota[TIK])) * 100</f>
        <v>55.78703704</v>
      </c>
      <c r="L385" s="9">
        <f>(H385 - MIN(KabKota[IDI])) / (MAX(KabKota[IDI]) - MIN(KabKota[IDI])) * 100</f>
        <v>92.67226891</v>
      </c>
      <c r="M385" s="9">
        <f t="shared" si="1"/>
        <v>53.05918624</v>
      </c>
      <c r="N385" s="11">
        <f>_xlfn.RANK.EQ(M385,KabKota[Rata-rata Skor])</f>
        <v>384</v>
      </c>
      <c r="O385" s="6">
        <f>COUNTIFS(KabKota[Regional], B385, KabKota[Rata-rata Skor], "&gt;"&amp;M385) + 1</f>
        <v>136</v>
      </c>
    </row>
    <row r="386" ht="22.5" customHeight="1">
      <c r="A386" s="5">
        <v>431.0</v>
      </c>
      <c r="B386" s="5" t="s">
        <v>75</v>
      </c>
      <c r="C386" s="5" t="s">
        <v>46</v>
      </c>
      <c r="D386" s="5" t="s">
        <v>450</v>
      </c>
      <c r="E386" s="7">
        <v>73.42</v>
      </c>
      <c r="F386" s="8">
        <v>0.003</v>
      </c>
      <c r="G386" s="7">
        <f>VLOOKUP(C386,Provinsi[[#ALL],[Daerah]:[IDI]],4,0)</f>
        <v>6.03</v>
      </c>
      <c r="H386" s="9">
        <f>VLOOKUP(C386,Provinsi[[#ALL],[Daerah]:[IDI]],5,0)</f>
        <v>78.04</v>
      </c>
      <c r="I386" s="9">
        <f>(E386 - MIN(KabKota[IPM])) / (MAX(KabKota[IPM]) - MIN(KabKota[IPM])) * 100</f>
        <v>67.21544715</v>
      </c>
      <c r="J386" s="9">
        <f>(F386 - MIN(KabKota[IKF])) / (MAX(KabKota[IKF]) - MIN(KabKota[IKF])) * 100</f>
        <v>0.375</v>
      </c>
      <c r="K386" s="9">
        <f>(G386 - MIN(KabKota[TIK])) / (MAX(KabKota[TIK]) - MIN(KabKota[TIK])) * 100</f>
        <v>57.17592593</v>
      </c>
      <c r="L386" s="9">
        <f>(H386 - MIN(KabKota[IDI])) / (MAX(KabKota[IDI]) - MIN(KabKota[IDI])) * 100</f>
        <v>87.43977591</v>
      </c>
      <c r="M386" s="9">
        <f t="shared" si="1"/>
        <v>53.05153725</v>
      </c>
      <c r="N386" s="11">
        <f>_xlfn.RANK.EQ(M386,KabKota[Rata-rata Skor])</f>
        <v>385</v>
      </c>
      <c r="O386" s="6">
        <f>COUNTIFS(KabKota[Regional], B386, KabKota[Rata-rata Skor], "&gt;"&amp;M386) + 1</f>
        <v>54</v>
      </c>
    </row>
    <row r="387" ht="22.5" customHeight="1">
      <c r="A387" s="5">
        <v>214.0</v>
      </c>
      <c r="B387" s="5" t="s">
        <v>63</v>
      </c>
      <c r="C387" s="5" t="s">
        <v>30</v>
      </c>
      <c r="D387" s="5" t="s">
        <v>451</v>
      </c>
      <c r="E387" s="7">
        <v>69.47</v>
      </c>
      <c r="F387" s="8">
        <v>0.005</v>
      </c>
      <c r="G387" s="7">
        <f>VLOOKUP(C387,Provinsi[[#ALL],[Daerah]:[IDI]],4,0)</f>
        <v>5.98</v>
      </c>
      <c r="H387" s="9">
        <f>VLOOKUP(C387,Provinsi[[#ALL],[Daerah]:[IDI]],5,0)</f>
        <v>85.84</v>
      </c>
      <c r="I387" s="9">
        <f>(E387 - MIN(KabKota[IPM])) / (MAX(KabKota[IPM]) - MIN(KabKota[IPM])) * 100</f>
        <v>59.18699187</v>
      </c>
      <c r="J387" s="9">
        <f>(F387 - MIN(KabKota[IKF])) / (MAX(KabKota[IKF]) - MIN(KabKota[IKF])) * 100</f>
        <v>0.625</v>
      </c>
      <c r="K387" s="9">
        <f>(G387 - MIN(KabKota[TIK])) / (MAX(KabKota[TIK]) - MIN(KabKota[TIK])) * 100</f>
        <v>56.01851852</v>
      </c>
      <c r="L387" s="9">
        <f>(H387 - MIN(KabKota[IDI])) / (MAX(KabKota[IDI]) - MIN(KabKota[IDI])) * 100</f>
        <v>96.17927171</v>
      </c>
      <c r="M387" s="9">
        <f t="shared" si="1"/>
        <v>53.00244552</v>
      </c>
      <c r="N387" s="11">
        <f>_xlfn.RANK.EQ(M387,KabKota[Rata-rata Skor])</f>
        <v>386</v>
      </c>
      <c r="O387" s="6">
        <f>COUNTIFS(KabKota[Regional], B387, KabKota[Rata-rata Skor], "&gt;"&amp;M387) + 1</f>
        <v>117</v>
      </c>
    </row>
    <row r="388" ht="22.5" customHeight="1">
      <c r="A388" s="5">
        <v>107.0</v>
      </c>
      <c r="B388" s="5" t="s">
        <v>70</v>
      </c>
      <c r="C388" s="5" t="s">
        <v>29</v>
      </c>
      <c r="D388" s="5" t="s">
        <v>452</v>
      </c>
      <c r="E388" s="7">
        <v>70.98</v>
      </c>
      <c r="F388" s="8">
        <v>0.01</v>
      </c>
      <c r="G388" s="7">
        <f>VLOOKUP(C388,Provinsi[[#ALL],[Daerah]:[IDI]],4,0)</f>
        <v>5.97</v>
      </c>
      <c r="H388" s="9">
        <f>VLOOKUP(C388,Provinsi[[#ALL],[Daerah]:[IDI]],5,0)</f>
        <v>82.71</v>
      </c>
      <c r="I388" s="9">
        <f>(E388 - MIN(KabKota[IPM])) / (MAX(KabKota[IPM]) - MIN(KabKota[IPM])) * 100</f>
        <v>62.25609756</v>
      </c>
      <c r="J388" s="9">
        <f>(F388 - MIN(KabKota[IKF])) / (MAX(KabKota[IKF]) - MIN(KabKota[IKF])) * 100</f>
        <v>1.25</v>
      </c>
      <c r="K388" s="9">
        <f>(G388 - MIN(KabKota[TIK])) / (MAX(KabKota[TIK]) - MIN(KabKota[TIK])) * 100</f>
        <v>55.78703704</v>
      </c>
      <c r="L388" s="9">
        <f>(H388 - MIN(KabKota[IDI])) / (MAX(KabKota[IDI]) - MIN(KabKota[IDI])) * 100</f>
        <v>92.67226891</v>
      </c>
      <c r="M388" s="9">
        <f t="shared" si="1"/>
        <v>52.99135088</v>
      </c>
      <c r="N388" s="11">
        <f>_xlfn.RANK.EQ(M388,KabKota[Rata-rata Skor])</f>
        <v>387</v>
      </c>
      <c r="O388" s="6">
        <f>COUNTIFS(KabKota[Regional], B388, KabKota[Rata-rata Skor], "&gt;"&amp;M388) + 1</f>
        <v>137</v>
      </c>
    </row>
    <row r="389" ht="22.5" customHeight="1">
      <c r="A389" s="5">
        <v>386.0</v>
      </c>
      <c r="B389" s="5" t="s">
        <v>75</v>
      </c>
      <c r="C389" s="5" t="s">
        <v>47</v>
      </c>
      <c r="D389" s="5" t="s">
        <v>453</v>
      </c>
      <c r="E389" s="7">
        <v>73.44</v>
      </c>
      <c r="F389" s="8">
        <v>0.005</v>
      </c>
      <c r="G389" s="7">
        <f>VLOOKUP(C389,Provinsi[[#ALL],[Daerah]:[IDI]],4,0)</f>
        <v>5.93</v>
      </c>
      <c r="H389" s="9">
        <f>VLOOKUP(C389,Provinsi[[#ALL],[Daerah]:[IDI]],5,0)</f>
        <v>79.35</v>
      </c>
      <c r="I389" s="9">
        <f>(E389 - MIN(KabKota[IPM])) / (MAX(KabKota[IPM]) - MIN(KabKota[IPM])) * 100</f>
        <v>67.25609756</v>
      </c>
      <c r="J389" s="9">
        <f>(F389 - MIN(KabKota[IKF])) / (MAX(KabKota[IKF]) - MIN(KabKota[IKF])) * 100</f>
        <v>0.625</v>
      </c>
      <c r="K389" s="9">
        <f>(G389 - MIN(KabKota[TIK])) / (MAX(KabKota[TIK]) - MIN(KabKota[TIK])) * 100</f>
        <v>54.86111111</v>
      </c>
      <c r="L389" s="9">
        <f>(H389 - MIN(KabKota[IDI])) / (MAX(KabKota[IDI]) - MIN(KabKota[IDI])) * 100</f>
        <v>88.90756303</v>
      </c>
      <c r="M389" s="9">
        <f t="shared" si="1"/>
        <v>52.91244292</v>
      </c>
      <c r="N389" s="11">
        <f>_xlfn.RANK.EQ(M389,KabKota[Rata-rata Skor])</f>
        <v>388</v>
      </c>
      <c r="O389" s="6">
        <f>COUNTIFS(KabKota[Regional], B389, KabKota[Rata-rata Skor], "&gt;"&amp;M389) + 1</f>
        <v>55</v>
      </c>
    </row>
    <row r="390" ht="22.5" customHeight="1">
      <c r="A390" s="5">
        <v>12.0</v>
      </c>
      <c r="B390" s="5" t="s">
        <v>70</v>
      </c>
      <c r="C390" s="5" t="s">
        <v>36</v>
      </c>
      <c r="D390" s="5" t="s">
        <v>454</v>
      </c>
      <c r="E390" s="7">
        <v>72.1</v>
      </c>
      <c r="F390" s="8">
        <v>0.048</v>
      </c>
      <c r="G390" s="7">
        <f>VLOOKUP(C390,Provinsi[[#ALL],[Daerah]:[IDI]],4,0)</f>
        <v>5.97</v>
      </c>
      <c r="H390" s="9">
        <f>VLOOKUP(C390,Provinsi[[#ALL],[Daerah]:[IDI]],5,0)</f>
        <v>75.8</v>
      </c>
      <c r="I390" s="9">
        <f>(E390 - MIN(KabKota[IPM])) / (MAX(KabKota[IPM]) - MIN(KabKota[IPM])) * 100</f>
        <v>64.53252033</v>
      </c>
      <c r="J390" s="9">
        <f>(F390 - MIN(KabKota[IKF])) / (MAX(KabKota[IKF]) - MIN(KabKota[IKF])) * 100</f>
        <v>6</v>
      </c>
      <c r="K390" s="9">
        <f>(G390 - MIN(KabKota[TIK])) / (MAX(KabKota[TIK]) - MIN(KabKota[TIK])) * 100</f>
        <v>55.78703704</v>
      </c>
      <c r="L390" s="9">
        <f>(H390 - MIN(KabKota[IDI])) / (MAX(KabKota[IDI]) - MIN(KabKota[IDI])) * 100</f>
        <v>84.92997199</v>
      </c>
      <c r="M390" s="9">
        <f t="shared" si="1"/>
        <v>52.81238234</v>
      </c>
      <c r="N390" s="11">
        <f>_xlfn.RANK.EQ(M390,KabKota[Rata-rata Skor])</f>
        <v>389</v>
      </c>
      <c r="O390" s="6">
        <f>COUNTIFS(KabKota[Regional], B390, KabKota[Rata-rata Skor], "&gt;"&amp;M390) + 1</f>
        <v>138</v>
      </c>
    </row>
    <row r="391" ht="22.5" customHeight="1">
      <c r="A391" s="5">
        <v>320.0</v>
      </c>
      <c r="B391" s="5" t="s">
        <v>77</v>
      </c>
      <c r="C391" s="5" t="s">
        <v>35</v>
      </c>
      <c r="D391" s="5" t="s">
        <v>455</v>
      </c>
      <c r="E391" s="7">
        <v>69.24</v>
      </c>
      <c r="F391" s="8">
        <v>0.014</v>
      </c>
      <c r="G391" s="7">
        <f>VLOOKUP(C391,Provinsi[[#ALL],[Daerah]:[IDI]],4,0)</f>
        <v>5.9</v>
      </c>
      <c r="H391" s="9">
        <f>VLOOKUP(C391,Provinsi[[#ALL],[Daerah]:[IDI]],5,0)</f>
        <v>86.17</v>
      </c>
      <c r="I391" s="9">
        <f>(E391 - MIN(KabKota[IPM])) / (MAX(KabKota[IPM]) - MIN(KabKota[IPM])) * 100</f>
        <v>58.7195122</v>
      </c>
      <c r="J391" s="9">
        <f>(F391 - MIN(KabKota[IKF])) / (MAX(KabKota[IKF]) - MIN(KabKota[IKF])) * 100</f>
        <v>1.75</v>
      </c>
      <c r="K391" s="9">
        <f>(G391 - MIN(KabKota[TIK])) / (MAX(KabKota[TIK]) - MIN(KabKota[TIK])) * 100</f>
        <v>54.16666667</v>
      </c>
      <c r="L391" s="9">
        <f>(H391 - MIN(KabKota[IDI])) / (MAX(KabKota[IDI]) - MIN(KabKota[IDI])) * 100</f>
        <v>96.54901961</v>
      </c>
      <c r="M391" s="9">
        <f t="shared" si="1"/>
        <v>52.79629962</v>
      </c>
      <c r="N391" s="11">
        <f>_xlfn.RANK.EQ(M391,KabKota[Rata-rata Skor])</f>
        <v>390</v>
      </c>
      <c r="O391" s="6">
        <f>COUNTIFS(KabKota[Regional], B391, KabKota[Rata-rata Skor], "&gt;"&amp;M391) + 1</f>
        <v>54</v>
      </c>
    </row>
    <row r="392" ht="22.5" customHeight="1">
      <c r="A392" s="5">
        <v>48.0</v>
      </c>
      <c r="B392" s="5" t="s">
        <v>70</v>
      </c>
      <c r="C392" s="5" t="s">
        <v>21</v>
      </c>
      <c r="D392" s="5" t="s">
        <v>456</v>
      </c>
      <c r="E392" s="7">
        <v>66.65</v>
      </c>
      <c r="F392" s="8">
        <v>0.052</v>
      </c>
      <c r="G392" s="7">
        <f>VLOOKUP(C392,Provinsi[[#ALL],[Daerah]:[IDI]],4,0)</f>
        <v>6.2</v>
      </c>
      <c r="H392" s="9">
        <f>VLOOKUP(C392,Provinsi[[#ALL],[Daerah]:[IDI]],5,0)</f>
        <v>80.19</v>
      </c>
      <c r="I392" s="9">
        <f>(E392 - MIN(KabKota[IPM])) / (MAX(KabKota[IPM]) - MIN(KabKota[IPM])) * 100</f>
        <v>53.45528455</v>
      </c>
      <c r="J392" s="9">
        <f>(F392 - MIN(KabKota[IKF])) / (MAX(KabKota[IKF]) - MIN(KabKota[IKF])) * 100</f>
        <v>6.5</v>
      </c>
      <c r="K392" s="9">
        <f>(G392 - MIN(KabKota[TIK])) / (MAX(KabKota[TIK]) - MIN(KabKota[TIK])) * 100</f>
        <v>61.11111111</v>
      </c>
      <c r="L392" s="9">
        <f>(H392 - MIN(KabKota[IDI])) / (MAX(KabKota[IDI]) - MIN(KabKota[IDI])) * 100</f>
        <v>89.8487395</v>
      </c>
      <c r="M392" s="9">
        <f t="shared" si="1"/>
        <v>52.72878379</v>
      </c>
      <c r="N392" s="11">
        <f>_xlfn.RANK.EQ(M392,KabKota[Rata-rata Skor])</f>
        <v>391</v>
      </c>
      <c r="O392" s="6">
        <f>COUNTIFS(KabKota[Regional], B392, KabKota[Rata-rata Skor], "&gt;"&amp;M392) + 1</f>
        <v>139</v>
      </c>
    </row>
    <row r="393" ht="22.5" customHeight="1">
      <c r="A393" s="5">
        <v>27.0</v>
      </c>
      <c r="B393" s="5" t="s">
        <v>70</v>
      </c>
      <c r="C393" s="5" t="s">
        <v>21</v>
      </c>
      <c r="D393" s="5" t="s">
        <v>457</v>
      </c>
      <c r="E393" s="7">
        <v>66.79</v>
      </c>
      <c r="F393" s="8">
        <v>0.049</v>
      </c>
      <c r="G393" s="7">
        <f>VLOOKUP(C393,Provinsi[[#ALL],[Daerah]:[IDI]],4,0)</f>
        <v>6.2</v>
      </c>
      <c r="H393" s="9">
        <f>VLOOKUP(C393,Provinsi[[#ALL],[Daerah]:[IDI]],5,0)</f>
        <v>80.19</v>
      </c>
      <c r="I393" s="9">
        <f>(E393 - MIN(KabKota[IPM])) / (MAX(KabKota[IPM]) - MIN(KabKota[IPM])) * 100</f>
        <v>53.7398374</v>
      </c>
      <c r="J393" s="9">
        <f>(F393 - MIN(KabKota[IKF])) / (MAX(KabKota[IKF]) - MIN(KabKota[IKF])) * 100</f>
        <v>6.125</v>
      </c>
      <c r="K393" s="9">
        <f>(G393 - MIN(KabKota[TIK])) / (MAX(KabKota[TIK]) - MIN(KabKota[TIK])) * 100</f>
        <v>61.11111111</v>
      </c>
      <c r="L393" s="9">
        <f>(H393 - MIN(KabKota[IDI])) / (MAX(KabKota[IDI]) - MIN(KabKota[IDI])) * 100</f>
        <v>89.8487395</v>
      </c>
      <c r="M393" s="9">
        <f t="shared" si="1"/>
        <v>52.706172</v>
      </c>
      <c r="N393" s="11">
        <f>_xlfn.RANK.EQ(M393,KabKota[Rata-rata Skor])</f>
        <v>392</v>
      </c>
      <c r="O393" s="6">
        <f>COUNTIFS(KabKota[Regional], B393, KabKota[Rata-rata Skor], "&gt;"&amp;M393) + 1</f>
        <v>140</v>
      </c>
    </row>
    <row r="394" ht="22.5" customHeight="1">
      <c r="A394" s="5">
        <v>304.0</v>
      </c>
      <c r="B394" s="5" t="s">
        <v>60</v>
      </c>
      <c r="C394" s="5" t="s">
        <v>52</v>
      </c>
      <c r="D394" s="5" t="s">
        <v>458</v>
      </c>
      <c r="E394" s="7">
        <v>68.46</v>
      </c>
      <c r="F394" s="8">
        <v>0.181</v>
      </c>
      <c r="G394" s="7">
        <f>VLOOKUP(C394,Provinsi[[#ALL],[Daerah]:[IDI]],4,0)</f>
        <v>5.36</v>
      </c>
      <c r="H394" s="9">
        <f>VLOOKUP(C394,Provinsi[[#ALL],[Daerah]:[IDI]],5,0)</f>
        <v>79.47</v>
      </c>
      <c r="I394" s="9">
        <f>(E394 - MIN(KabKota[IPM])) / (MAX(KabKota[IPM]) - MIN(KabKota[IPM])) * 100</f>
        <v>57.13414634</v>
      </c>
      <c r="J394" s="9">
        <f>(F394 - MIN(KabKota[IKF])) / (MAX(KabKota[IKF]) - MIN(KabKota[IKF])) * 100</f>
        <v>22.625</v>
      </c>
      <c r="K394" s="9">
        <f>(G394 - MIN(KabKota[TIK])) / (MAX(KabKota[TIK]) - MIN(KabKota[TIK])) * 100</f>
        <v>41.66666667</v>
      </c>
      <c r="L394" s="9">
        <f>(H394 - MIN(KabKota[IDI])) / (MAX(KabKota[IDI]) - MIN(KabKota[IDI])) * 100</f>
        <v>89.04201681</v>
      </c>
      <c r="M394" s="9">
        <f t="shared" si="1"/>
        <v>52.61695745</v>
      </c>
      <c r="N394" s="11">
        <f>_xlfn.RANK.EQ(M394,KabKota[Rata-rata Skor])</f>
        <v>393</v>
      </c>
      <c r="O394" s="6">
        <f>COUNTIFS(KabKota[Regional], B394, KabKota[Rata-rata Skor], "&gt;"&amp;M394) + 1</f>
        <v>17</v>
      </c>
    </row>
    <row r="395" ht="22.5" customHeight="1">
      <c r="A395" s="5">
        <v>430.0</v>
      </c>
      <c r="B395" s="5" t="s">
        <v>75</v>
      </c>
      <c r="C395" s="5" t="s">
        <v>46</v>
      </c>
      <c r="D395" s="5" t="s">
        <v>459</v>
      </c>
      <c r="E395" s="7">
        <v>72.37</v>
      </c>
      <c r="F395" s="8">
        <v>0.006</v>
      </c>
      <c r="G395" s="7">
        <f>VLOOKUP(C395,Provinsi[[#ALL],[Daerah]:[IDI]],4,0)</f>
        <v>6.03</v>
      </c>
      <c r="H395" s="9">
        <f>VLOOKUP(C395,Provinsi[[#ALL],[Daerah]:[IDI]],5,0)</f>
        <v>78.04</v>
      </c>
      <c r="I395" s="9">
        <f>(E395 - MIN(KabKota[IPM])) / (MAX(KabKota[IPM]) - MIN(KabKota[IPM])) * 100</f>
        <v>65.08130081</v>
      </c>
      <c r="J395" s="9">
        <f>(F395 - MIN(KabKota[IKF])) / (MAX(KabKota[IKF]) - MIN(KabKota[IKF])) * 100</f>
        <v>0.75</v>
      </c>
      <c r="K395" s="9">
        <f>(G395 - MIN(KabKota[TIK])) / (MAX(KabKota[TIK]) - MIN(KabKota[TIK])) * 100</f>
        <v>57.17592593</v>
      </c>
      <c r="L395" s="9">
        <f>(H395 - MIN(KabKota[IDI])) / (MAX(KabKota[IDI]) - MIN(KabKota[IDI])) * 100</f>
        <v>87.43977591</v>
      </c>
      <c r="M395" s="9">
        <f t="shared" si="1"/>
        <v>52.61175066</v>
      </c>
      <c r="N395" s="11">
        <f>_xlfn.RANK.EQ(M395,KabKota[Rata-rata Skor])</f>
        <v>394</v>
      </c>
      <c r="O395" s="6">
        <f>COUNTIFS(KabKota[Regional], B395, KabKota[Rata-rata Skor], "&gt;"&amp;M395) + 1</f>
        <v>56</v>
      </c>
    </row>
    <row r="396" ht="22.5" customHeight="1">
      <c r="A396" s="5">
        <v>286.0</v>
      </c>
      <c r="B396" s="5" t="s">
        <v>60</v>
      </c>
      <c r="C396" s="5" t="s">
        <v>45</v>
      </c>
      <c r="D396" s="5" t="s">
        <v>460</v>
      </c>
      <c r="E396" s="7">
        <v>73.27</v>
      </c>
      <c r="F396" s="8">
        <v>0.034</v>
      </c>
      <c r="G396" s="7">
        <f>VLOOKUP(C396,Provinsi[[#ALL],[Daerah]:[IDI]],4,0)</f>
        <v>5.88</v>
      </c>
      <c r="H396" s="9">
        <f>VLOOKUP(C396,Provinsi[[#ALL],[Daerah]:[IDI]],5,0)</f>
        <v>76.37</v>
      </c>
      <c r="I396" s="9">
        <f>(E396 - MIN(KabKota[IPM])) / (MAX(KabKota[IPM]) - MIN(KabKota[IPM])) * 100</f>
        <v>66.91056911</v>
      </c>
      <c r="J396" s="9">
        <f>(F396 - MIN(KabKota[IKF])) / (MAX(KabKota[IKF]) - MIN(KabKota[IKF])) * 100</f>
        <v>4.25</v>
      </c>
      <c r="K396" s="9">
        <f>(G396 - MIN(KabKota[TIK])) / (MAX(KabKota[TIK]) - MIN(KabKota[TIK])) * 100</f>
        <v>53.7037037</v>
      </c>
      <c r="L396" s="9">
        <f>(H396 - MIN(KabKota[IDI])) / (MAX(KabKota[IDI]) - MIN(KabKota[IDI])) * 100</f>
        <v>85.56862745</v>
      </c>
      <c r="M396" s="9">
        <f t="shared" si="1"/>
        <v>52.60822507</v>
      </c>
      <c r="N396" s="11">
        <f>_xlfn.RANK.EQ(M396,KabKota[Rata-rata Skor])</f>
        <v>395</v>
      </c>
      <c r="O396" s="6">
        <f>COUNTIFS(KabKota[Regional], B396, KabKota[Rata-rata Skor], "&gt;"&amp;M396) + 1</f>
        <v>18</v>
      </c>
    </row>
    <row r="397" ht="22.5" customHeight="1">
      <c r="A397" s="5">
        <v>285.0</v>
      </c>
      <c r="B397" s="5" t="s">
        <v>60</v>
      </c>
      <c r="C397" s="5" t="s">
        <v>45</v>
      </c>
      <c r="D397" s="5" t="s">
        <v>461</v>
      </c>
      <c r="E397" s="7">
        <v>72.35</v>
      </c>
      <c r="F397" s="8">
        <v>0.048</v>
      </c>
      <c r="G397" s="7">
        <f>VLOOKUP(C397,Provinsi[[#ALL],[Daerah]:[IDI]],4,0)</f>
        <v>5.88</v>
      </c>
      <c r="H397" s="9">
        <f>VLOOKUP(C397,Provinsi[[#ALL],[Daerah]:[IDI]],5,0)</f>
        <v>76.37</v>
      </c>
      <c r="I397" s="9">
        <f>(E397 - MIN(KabKota[IPM])) / (MAX(KabKota[IPM]) - MIN(KabKota[IPM])) * 100</f>
        <v>65.04065041</v>
      </c>
      <c r="J397" s="9">
        <f>(F397 - MIN(KabKota[IKF])) / (MAX(KabKota[IKF]) - MIN(KabKota[IKF])) * 100</f>
        <v>6</v>
      </c>
      <c r="K397" s="9">
        <f>(G397 - MIN(KabKota[TIK])) / (MAX(KabKota[TIK]) - MIN(KabKota[TIK])) * 100</f>
        <v>53.7037037</v>
      </c>
      <c r="L397" s="9">
        <f>(H397 - MIN(KabKota[IDI])) / (MAX(KabKota[IDI]) - MIN(KabKota[IDI])) * 100</f>
        <v>85.56862745</v>
      </c>
      <c r="M397" s="9">
        <f t="shared" si="1"/>
        <v>52.57824539</v>
      </c>
      <c r="N397" s="11">
        <f>_xlfn.RANK.EQ(M397,KabKota[Rata-rata Skor])</f>
        <v>396</v>
      </c>
      <c r="O397" s="6">
        <f>COUNTIFS(KabKota[Regional], B397, KabKota[Rata-rata Skor], "&gt;"&amp;M397) + 1</f>
        <v>19</v>
      </c>
    </row>
    <row r="398" ht="22.5" customHeight="1">
      <c r="A398" s="5">
        <v>287.0</v>
      </c>
      <c r="B398" s="5" t="s">
        <v>60</v>
      </c>
      <c r="C398" s="5" t="s">
        <v>45</v>
      </c>
      <c r="D398" s="5" t="s">
        <v>462</v>
      </c>
      <c r="E398" s="7">
        <v>73.58</v>
      </c>
      <c r="F398" s="8">
        <v>0.028</v>
      </c>
      <c r="G398" s="7">
        <f>VLOOKUP(C398,Provinsi[[#ALL],[Daerah]:[IDI]],4,0)</f>
        <v>5.88</v>
      </c>
      <c r="H398" s="9">
        <f>VLOOKUP(C398,Provinsi[[#ALL],[Daerah]:[IDI]],5,0)</f>
        <v>76.37</v>
      </c>
      <c r="I398" s="9">
        <f>(E398 - MIN(KabKota[IPM])) / (MAX(KabKota[IPM]) - MIN(KabKota[IPM])) * 100</f>
        <v>67.54065041</v>
      </c>
      <c r="J398" s="9">
        <f>(F398 - MIN(KabKota[IKF])) / (MAX(KabKota[IKF]) - MIN(KabKota[IKF])) * 100</f>
        <v>3.5</v>
      </c>
      <c r="K398" s="9">
        <f>(G398 - MIN(KabKota[TIK])) / (MAX(KabKota[TIK]) - MIN(KabKota[TIK])) * 100</f>
        <v>53.7037037</v>
      </c>
      <c r="L398" s="9">
        <f>(H398 - MIN(KabKota[IDI])) / (MAX(KabKota[IDI]) - MIN(KabKota[IDI])) * 100</f>
        <v>85.56862745</v>
      </c>
      <c r="M398" s="9">
        <f t="shared" si="1"/>
        <v>52.57824539</v>
      </c>
      <c r="N398" s="11">
        <f>_xlfn.RANK.EQ(M398,KabKota[Rata-rata Skor])</f>
        <v>396</v>
      </c>
      <c r="O398" s="6">
        <f>COUNTIFS(KabKota[Regional], B398, KabKota[Rata-rata Skor], "&gt;"&amp;M398) + 1</f>
        <v>19</v>
      </c>
    </row>
    <row r="399" ht="22.5" customHeight="1">
      <c r="A399" s="5">
        <v>253.0</v>
      </c>
      <c r="B399" s="5" t="s">
        <v>63</v>
      </c>
      <c r="C399" s="5" t="s">
        <v>23</v>
      </c>
      <c r="D399" s="5" t="s">
        <v>463</v>
      </c>
      <c r="E399" s="7">
        <v>68.15</v>
      </c>
      <c r="F399" s="8">
        <v>0.011</v>
      </c>
      <c r="G399" s="7">
        <f>VLOOKUP(C399,Provinsi[[#ALL],[Daerah]:[IDI]],4,0)</f>
        <v>6.07</v>
      </c>
      <c r="H399" s="9">
        <f>VLOOKUP(C399,Provinsi[[#ALL],[Daerah]:[IDI]],5,0)</f>
        <v>84.17</v>
      </c>
      <c r="I399" s="9">
        <f>(E399 - MIN(KabKota[IPM])) / (MAX(KabKota[IPM]) - MIN(KabKota[IPM])) * 100</f>
        <v>56.50406504</v>
      </c>
      <c r="J399" s="9">
        <f>(F399 - MIN(KabKota[IKF])) / (MAX(KabKota[IKF]) - MIN(KabKota[IKF])) * 100</f>
        <v>1.375</v>
      </c>
      <c r="K399" s="9">
        <f>(G399 - MIN(KabKota[TIK])) / (MAX(KabKota[TIK]) - MIN(KabKota[TIK])) * 100</f>
        <v>58.10185185</v>
      </c>
      <c r="L399" s="9">
        <f>(H399 - MIN(KabKota[IDI])) / (MAX(KabKota[IDI]) - MIN(KabKota[IDI])) * 100</f>
        <v>94.30812325</v>
      </c>
      <c r="M399" s="9">
        <f t="shared" si="1"/>
        <v>52.57226004</v>
      </c>
      <c r="N399" s="11">
        <f>_xlfn.RANK.EQ(M399,KabKota[Rata-rata Skor])</f>
        <v>398</v>
      </c>
      <c r="O399" s="6">
        <f>COUNTIFS(KabKota[Regional], B399, KabKota[Rata-rata Skor], "&gt;"&amp;M399) + 1</f>
        <v>118</v>
      </c>
    </row>
    <row r="400" ht="22.5" customHeight="1">
      <c r="A400" s="5">
        <v>85.0</v>
      </c>
      <c r="B400" s="5" t="s">
        <v>70</v>
      </c>
      <c r="C400" s="5" t="s">
        <v>33</v>
      </c>
      <c r="D400" s="5" t="s">
        <v>464</v>
      </c>
      <c r="E400" s="7">
        <v>70.2</v>
      </c>
      <c r="F400" s="8">
        <v>0.003</v>
      </c>
      <c r="G400" s="7">
        <f>VLOOKUP(C400,Provinsi[[#ALL],[Daerah]:[IDI]],4,0)</f>
        <v>6.27</v>
      </c>
      <c r="H400" s="9">
        <f>VLOOKUP(C400,Provinsi[[#ALL],[Daerah]:[IDI]],5,0)</f>
        <v>77.06</v>
      </c>
      <c r="I400" s="9">
        <f>(E400 - MIN(KabKota[IPM])) / (MAX(KabKota[IPM]) - MIN(KabKota[IPM])) * 100</f>
        <v>60.67073171</v>
      </c>
      <c r="J400" s="9">
        <f>(F400 - MIN(KabKota[IKF])) / (MAX(KabKota[IKF]) - MIN(KabKota[IKF])) * 100</f>
        <v>0.375</v>
      </c>
      <c r="K400" s="9">
        <f>(G400 - MIN(KabKota[TIK])) / (MAX(KabKota[TIK]) - MIN(KabKota[TIK])) * 100</f>
        <v>62.73148148</v>
      </c>
      <c r="L400" s="9">
        <f>(H400 - MIN(KabKota[IDI])) / (MAX(KabKota[IDI]) - MIN(KabKota[IDI])) * 100</f>
        <v>86.34173669</v>
      </c>
      <c r="M400" s="9">
        <f t="shared" si="1"/>
        <v>52.52973747</v>
      </c>
      <c r="N400" s="11">
        <f>_xlfn.RANK.EQ(M400,KabKota[Rata-rata Skor])</f>
        <v>399</v>
      </c>
      <c r="O400" s="6">
        <f>COUNTIFS(KabKota[Regional], B400, KabKota[Rata-rata Skor], "&gt;"&amp;M400) + 1</f>
        <v>141</v>
      </c>
    </row>
    <row r="401" ht="22.5" customHeight="1">
      <c r="A401" s="5">
        <v>427.0</v>
      </c>
      <c r="B401" s="5" t="s">
        <v>75</v>
      </c>
      <c r="C401" s="5" t="s">
        <v>46</v>
      </c>
      <c r="D401" s="5" t="s">
        <v>465</v>
      </c>
      <c r="E401" s="7">
        <v>72.32</v>
      </c>
      <c r="F401" s="8">
        <v>0.004</v>
      </c>
      <c r="G401" s="7">
        <f>VLOOKUP(C401,Provinsi[[#ALL],[Daerah]:[IDI]],4,0)</f>
        <v>6.03</v>
      </c>
      <c r="H401" s="9">
        <f>VLOOKUP(C401,Provinsi[[#ALL],[Daerah]:[IDI]],5,0)</f>
        <v>78.04</v>
      </c>
      <c r="I401" s="9">
        <f>(E401 - MIN(KabKota[IPM])) / (MAX(KabKota[IPM]) - MIN(KabKota[IPM])) * 100</f>
        <v>64.9796748</v>
      </c>
      <c r="J401" s="9">
        <f>(F401 - MIN(KabKota[IKF])) / (MAX(KabKota[IKF]) - MIN(KabKota[IKF])) * 100</f>
        <v>0.5</v>
      </c>
      <c r="K401" s="9">
        <f>(G401 - MIN(KabKota[TIK])) / (MAX(KabKota[TIK]) - MIN(KabKota[TIK])) * 100</f>
        <v>57.17592593</v>
      </c>
      <c r="L401" s="9">
        <f>(H401 - MIN(KabKota[IDI])) / (MAX(KabKota[IDI]) - MIN(KabKota[IDI])) * 100</f>
        <v>87.43977591</v>
      </c>
      <c r="M401" s="9">
        <f t="shared" si="1"/>
        <v>52.52384416</v>
      </c>
      <c r="N401" s="11">
        <f>_xlfn.RANK.EQ(M401,KabKota[Rata-rata Skor])</f>
        <v>400</v>
      </c>
      <c r="O401" s="6">
        <f>COUNTIFS(KabKota[Regional], B401, KabKota[Rata-rata Skor], "&gt;"&amp;M401) + 1</f>
        <v>57</v>
      </c>
    </row>
    <row r="402" ht="22.5" customHeight="1">
      <c r="A402" s="5">
        <v>3.0</v>
      </c>
      <c r="B402" s="5" t="s">
        <v>70</v>
      </c>
      <c r="C402" s="5" t="s">
        <v>36</v>
      </c>
      <c r="D402" s="5" t="s">
        <v>466</v>
      </c>
      <c r="E402" s="7">
        <v>72.2</v>
      </c>
      <c r="F402" s="8">
        <v>0.037</v>
      </c>
      <c r="G402" s="7">
        <f>VLOOKUP(C402,Provinsi[[#ALL],[Daerah]:[IDI]],4,0)</f>
        <v>5.97</v>
      </c>
      <c r="H402" s="9">
        <f>VLOOKUP(C402,Provinsi[[#ALL],[Daerah]:[IDI]],5,0)</f>
        <v>75.8</v>
      </c>
      <c r="I402" s="9">
        <f>(E402 - MIN(KabKota[IPM])) / (MAX(KabKota[IPM]) - MIN(KabKota[IPM])) * 100</f>
        <v>64.73577236</v>
      </c>
      <c r="J402" s="9">
        <f>(F402 - MIN(KabKota[IKF])) / (MAX(KabKota[IKF]) - MIN(KabKota[IKF])) * 100</f>
        <v>4.625</v>
      </c>
      <c r="K402" s="9">
        <f>(G402 - MIN(KabKota[TIK])) / (MAX(KabKota[TIK]) - MIN(KabKota[TIK])) * 100</f>
        <v>55.78703704</v>
      </c>
      <c r="L402" s="9">
        <f>(H402 - MIN(KabKota[IDI])) / (MAX(KabKota[IDI]) - MIN(KabKota[IDI])) * 100</f>
        <v>84.92997199</v>
      </c>
      <c r="M402" s="9">
        <f t="shared" si="1"/>
        <v>52.51944535</v>
      </c>
      <c r="N402" s="11">
        <f>_xlfn.RANK.EQ(M402,KabKota[Rata-rata Skor])</f>
        <v>401</v>
      </c>
      <c r="O402" s="6">
        <f>COUNTIFS(KabKota[Regional], B402, KabKota[Rata-rata Skor], "&gt;"&amp;M402) + 1</f>
        <v>142</v>
      </c>
    </row>
    <row r="403" ht="22.5" customHeight="1">
      <c r="A403" s="5">
        <v>437.0</v>
      </c>
      <c r="B403" s="5" t="s">
        <v>75</v>
      </c>
      <c r="C403" s="5" t="s">
        <v>46</v>
      </c>
      <c r="D403" s="5" t="s">
        <v>467</v>
      </c>
      <c r="E403" s="7">
        <v>68.54</v>
      </c>
      <c r="F403" s="8">
        <v>0.065</v>
      </c>
      <c r="G403" s="7">
        <f>VLOOKUP(C403,Provinsi[[#ALL],[Daerah]:[IDI]],4,0)</f>
        <v>6.03</v>
      </c>
      <c r="H403" s="9">
        <f>VLOOKUP(C403,Provinsi[[#ALL],[Daerah]:[IDI]],5,0)</f>
        <v>78.04</v>
      </c>
      <c r="I403" s="9">
        <f>(E403 - MIN(KabKota[IPM])) / (MAX(KabKota[IPM]) - MIN(KabKota[IPM])) * 100</f>
        <v>57.29674797</v>
      </c>
      <c r="J403" s="9">
        <f>(F403 - MIN(KabKota[IKF])) / (MAX(KabKota[IKF]) - MIN(KabKota[IKF])) * 100</f>
        <v>8.125</v>
      </c>
      <c r="K403" s="9">
        <f>(G403 - MIN(KabKota[TIK])) / (MAX(KabKota[TIK]) - MIN(KabKota[TIK])) * 100</f>
        <v>57.17592593</v>
      </c>
      <c r="L403" s="9">
        <f>(H403 - MIN(KabKota[IDI])) / (MAX(KabKota[IDI]) - MIN(KabKota[IDI])) * 100</f>
        <v>87.43977591</v>
      </c>
      <c r="M403" s="9">
        <f t="shared" si="1"/>
        <v>52.50936245</v>
      </c>
      <c r="N403" s="11">
        <f>_xlfn.RANK.EQ(M403,KabKota[Rata-rata Skor])</f>
        <v>402</v>
      </c>
      <c r="O403" s="6">
        <f>COUNTIFS(KabKota[Regional], B403, KabKota[Rata-rata Skor], "&gt;"&amp;M403) + 1</f>
        <v>58</v>
      </c>
    </row>
    <row r="404" ht="22.5" customHeight="1">
      <c r="A404" s="5">
        <v>425.0</v>
      </c>
      <c r="B404" s="5" t="s">
        <v>75</v>
      </c>
      <c r="C404" s="5" t="s">
        <v>46</v>
      </c>
      <c r="D404" s="5" t="s">
        <v>468</v>
      </c>
      <c r="E404" s="7">
        <v>72.23</v>
      </c>
      <c r="F404" s="8">
        <v>0.002</v>
      </c>
      <c r="G404" s="7">
        <f>VLOOKUP(C404,Provinsi[[#ALL],[Daerah]:[IDI]],4,0)</f>
        <v>6.03</v>
      </c>
      <c r="H404" s="9">
        <f>VLOOKUP(C404,Provinsi[[#ALL],[Daerah]:[IDI]],5,0)</f>
        <v>78.04</v>
      </c>
      <c r="I404" s="9">
        <f>(E404 - MIN(KabKota[IPM])) / (MAX(KabKota[IPM]) - MIN(KabKota[IPM])) * 100</f>
        <v>64.79674797</v>
      </c>
      <c r="J404" s="9">
        <f>(F404 - MIN(KabKota[IKF])) / (MAX(KabKota[IKF]) - MIN(KabKota[IKF])) * 100</f>
        <v>0.25</v>
      </c>
      <c r="K404" s="9">
        <f>(G404 - MIN(KabKota[TIK])) / (MAX(KabKota[TIK]) - MIN(KabKota[TIK])) * 100</f>
        <v>57.17592593</v>
      </c>
      <c r="L404" s="9">
        <f>(H404 - MIN(KabKota[IDI])) / (MAX(KabKota[IDI]) - MIN(KabKota[IDI])) * 100</f>
        <v>87.43977591</v>
      </c>
      <c r="M404" s="9">
        <f t="shared" si="1"/>
        <v>52.41561245</v>
      </c>
      <c r="N404" s="11">
        <f>_xlfn.RANK.EQ(M404,KabKota[Rata-rata Skor])</f>
        <v>403</v>
      </c>
      <c r="O404" s="6">
        <f>COUNTIFS(KabKota[Regional], B404, KabKota[Rata-rata Skor], "&gt;"&amp;M404) + 1</f>
        <v>59</v>
      </c>
    </row>
    <row r="405" ht="22.5" customHeight="1">
      <c r="A405" s="5">
        <v>65.0</v>
      </c>
      <c r="B405" s="5" t="s">
        <v>70</v>
      </c>
      <c r="C405" s="5" t="s">
        <v>34</v>
      </c>
      <c r="D405" s="5" t="s">
        <v>469</v>
      </c>
      <c r="E405" s="7">
        <v>67.62</v>
      </c>
      <c r="F405" s="8">
        <v>0.024</v>
      </c>
      <c r="G405" s="7">
        <f>VLOOKUP(C405,Provinsi[[#ALL],[Daerah]:[IDI]],4,0)</f>
        <v>6.27</v>
      </c>
      <c r="H405" s="9">
        <f>VLOOKUP(C405,Provinsi[[#ALL],[Daerah]:[IDI]],5,0)</f>
        <v>78.83</v>
      </c>
      <c r="I405" s="9">
        <f>(E405 - MIN(KabKota[IPM])) / (MAX(KabKota[IPM]) - MIN(KabKota[IPM])) * 100</f>
        <v>55.42682927</v>
      </c>
      <c r="J405" s="9">
        <f>(F405 - MIN(KabKota[IKF])) / (MAX(KabKota[IKF]) - MIN(KabKota[IKF])) * 100</f>
        <v>3</v>
      </c>
      <c r="K405" s="9">
        <f>(G405 - MIN(KabKota[TIK])) / (MAX(KabKota[TIK]) - MIN(KabKota[TIK])) * 100</f>
        <v>62.73148148</v>
      </c>
      <c r="L405" s="9">
        <f>(H405 - MIN(KabKota[IDI])) / (MAX(KabKota[IDI]) - MIN(KabKota[IDI])) * 100</f>
        <v>88.32492997</v>
      </c>
      <c r="M405" s="9">
        <f t="shared" si="1"/>
        <v>52.37081018</v>
      </c>
      <c r="N405" s="11">
        <f>_xlfn.RANK.EQ(M405,KabKota[Rata-rata Skor])</f>
        <v>404</v>
      </c>
      <c r="O405" s="6">
        <f>COUNTIFS(KabKota[Regional], B405, KabKota[Rata-rata Skor], "&gt;"&amp;M405) + 1</f>
        <v>143</v>
      </c>
    </row>
    <row r="406" ht="22.5" customHeight="1">
      <c r="A406" s="5">
        <v>336.0</v>
      </c>
      <c r="B406" s="5" t="s">
        <v>77</v>
      </c>
      <c r="C406" s="5" t="s">
        <v>40</v>
      </c>
      <c r="D406" s="5" t="s">
        <v>470</v>
      </c>
      <c r="E406" s="7">
        <v>71.45</v>
      </c>
      <c r="F406" s="8">
        <v>0.01</v>
      </c>
      <c r="G406" s="7">
        <f>VLOOKUP(C406,Provinsi[[#ALL],[Daerah]:[IDI]],4,0)</f>
        <v>6.02</v>
      </c>
      <c r="H406" s="9">
        <f>VLOOKUP(C406,Provinsi[[#ALL],[Daerah]:[IDI]],5,0)</f>
        <v>78.47</v>
      </c>
      <c r="I406" s="9">
        <f>(E406 - MIN(KabKota[IPM])) / (MAX(KabKota[IPM]) - MIN(KabKota[IPM])) * 100</f>
        <v>63.21138211</v>
      </c>
      <c r="J406" s="9">
        <f>(F406 - MIN(KabKota[IKF])) / (MAX(KabKota[IKF]) - MIN(KabKota[IKF])) * 100</f>
        <v>1.25</v>
      </c>
      <c r="K406" s="9">
        <f>(G406 - MIN(KabKota[TIK])) / (MAX(KabKota[TIK]) - MIN(KabKota[TIK])) * 100</f>
        <v>56.94444444</v>
      </c>
      <c r="L406" s="9">
        <f>(H406 - MIN(KabKota[IDI])) / (MAX(KabKota[IDI]) - MIN(KabKota[IDI])) * 100</f>
        <v>87.92156863</v>
      </c>
      <c r="M406" s="9">
        <f t="shared" si="1"/>
        <v>52.3318488</v>
      </c>
      <c r="N406" s="11">
        <f>_xlfn.RANK.EQ(M406,KabKota[Rata-rata Skor])</f>
        <v>405</v>
      </c>
      <c r="O406" s="6">
        <f>COUNTIFS(KabKota[Regional], B406, KabKota[Rata-rata Skor], "&gt;"&amp;M406) + 1</f>
        <v>55</v>
      </c>
    </row>
    <row r="407" ht="22.5" customHeight="1">
      <c r="A407" s="5">
        <v>390.0</v>
      </c>
      <c r="B407" s="5" t="s">
        <v>75</v>
      </c>
      <c r="C407" s="5" t="s">
        <v>47</v>
      </c>
      <c r="D407" s="5" t="s">
        <v>471</v>
      </c>
      <c r="E407" s="7">
        <v>71.47</v>
      </c>
      <c r="F407" s="8">
        <v>0.018</v>
      </c>
      <c r="G407" s="7">
        <f>VLOOKUP(C407,Provinsi[[#ALL],[Daerah]:[IDI]],4,0)</f>
        <v>5.93</v>
      </c>
      <c r="H407" s="9">
        <f>VLOOKUP(C407,Provinsi[[#ALL],[Daerah]:[IDI]],5,0)</f>
        <v>79.35</v>
      </c>
      <c r="I407" s="9">
        <f>(E407 - MIN(KabKota[IPM])) / (MAX(KabKota[IPM]) - MIN(KabKota[IPM])) * 100</f>
        <v>63.25203252</v>
      </c>
      <c r="J407" s="9">
        <f>(F407 - MIN(KabKota[IKF])) / (MAX(KabKota[IKF]) - MIN(KabKota[IKF])) * 100</f>
        <v>2.25</v>
      </c>
      <c r="K407" s="9">
        <f>(G407 - MIN(KabKota[TIK])) / (MAX(KabKota[TIK]) - MIN(KabKota[TIK])) * 100</f>
        <v>54.86111111</v>
      </c>
      <c r="L407" s="9">
        <f>(H407 - MIN(KabKota[IDI])) / (MAX(KabKota[IDI]) - MIN(KabKota[IDI])) * 100</f>
        <v>88.90756303</v>
      </c>
      <c r="M407" s="9">
        <f t="shared" si="1"/>
        <v>52.31767666</v>
      </c>
      <c r="N407" s="11">
        <f>_xlfn.RANK.EQ(M407,KabKota[Rata-rata Skor])</f>
        <v>406</v>
      </c>
      <c r="O407" s="6">
        <f>COUNTIFS(KabKota[Regional], B407, KabKota[Rata-rata Skor], "&gt;"&amp;M407) + 1</f>
        <v>60</v>
      </c>
    </row>
    <row r="408" ht="22.5" customHeight="1">
      <c r="A408" s="5">
        <v>135.0</v>
      </c>
      <c r="B408" s="5" t="s">
        <v>70</v>
      </c>
      <c r="C408" s="5" t="s">
        <v>43</v>
      </c>
      <c r="D408" s="5" t="s">
        <v>472</v>
      </c>
      <c r="E408" s="7">
        <v>74.76</v>
      </c>
      <c r="F408" s="8">
        <v>0.028</v>
      </c>
      <c r="G408" s="7">
        <f>VLOOKUP(C408,Provinsi[[#ALL],[Daerah]:[IDI]],4,0)</f>
        <v>5.91</v>
      </c>
      <c r="H408" s="9">
        <f>VLOOKUP(C408,Provinsi[[#ALL],[Daerah]:[IDI]],5,0)</f>
        <v>72.62</v>
      </c>
      <c r="I408" s="9">
        <f>(E408 - MIN(KabKota[IPM])) / (MAX(KabKota[IPM]) - MIN(KabKota[IPM])) * 100</f>
        <v>69.93902439</v>
      </c>
      <c r="J408" s="9">
        <f>(F408 - MIN(KabKota[IKF])) / (MAX(KabKota[IKF]) - MIN(KabKota[IKF])) * 100</f>
        <v>3.5</v>
      </c>
      <c r="K408" s="9">
        <f>(G408 - MIN(KabKota[TIK])) / (MAX(KabKota[TIK]) - MIN(KabKota[TIK])) * 100</f>
        <v>54.39814815</v>
      </c>
      <c r="L408" s="9">
        <f>(H408 - MIN(KabKota[IDI])) / (MAX(KabKota[IDI]) - MIN(KabKota[IDI])) * 100</f>
        <v>81.36694678</v>
      </c>
      <c r="M408" s="9">
        <f t="shared" si="1"/>
        <v>52.30102983</v>
      </c>
      <c r="N408" s="11">
        <f>_xlfn.RANK.EQ(M408,KabKota[Rata-rata Skor])</f>
        <v>407</v>
      </c>
      <c r="O408" s="6">
        <f>COUNTIFS(KabKota[Regional], B408, KabKota[Rata-rata Skor], "&gt;"&amp;M408) + 1</f>
        <v>144</v>
      </c>
    </row>
    <row r="409" ht="22.5" customHeight="1">
      <c r="A409" s="5">
        <v>335.0</v>
      </c>
      <c r="B409" s="5" t="s">
        <v>77</v>
      </c>
      <c r="C409" s="5" t="s">
        <v>40</v>
      </c>
      <c r="D409" s="5" t="s">
        <v>473</v>
      </c>
      <c r="E409" s="7">
        <v>71.24</v>
      </c>
      <c r="F409" s="8">
        <v>0.012</v>
      </c>
      <c r="G409" s="7">
        <f>VLOOKUP(C409,Provinsi[[#ALL],[Daerah]:[IDI]],4,0)</f>
        <v>6.02</v>
      </c>
      <c r="H409" s="9">
        <f>VLOOKUP(C409,Provinsi[[#ALL],[Daerah]:[IDI]],5,0)</f>
        <v>78.47</v>
      </c>
      <c r="I409" s="9">
        <f>(E409 - MIN(KabKota[IPM])) / (MAX(KabKota[IPM]) - MIN(KabKota[IPM])) * 100</f>
        <v>62.78455285</v>
      </c>
      <c r="J409" s="9">
        <f>(F409 - MIN(KabKota[IKF])) / (MAX(KabKota[IKF]) - MIN(KabKota[IKF])) * 100</f>
        <v>1.5</v>
      </c>
      <c r="K409" s="9">
        <f>(G409 - MIN(KabKota[TIK])) / (MAX(KabKota[TIK]) - MIN(KabKota[TIK])) * 100</f>
        <v>56.94444444</v>
      </c>
      <c r="L409" s="9">
        <f>(H409 - MIN(KabKota[IDI])) / (MAX(KabKota[IDI]) - MIN(KabKota[IDI])) * 100</f>
        <v>87.92156863</v>
      </c>
      <c r="M409" s="9">
        <f t="shared" si="1"/>
        <v>52.28764148</v>
      </c>
      <c r="N409" s="11">
        <f>_xlfn.RANK.EQ(M409,KabKota[Rata-rata Skor])</f>
        <v>408</v>
      </c>
      <c r="O409" s="6">
        <f>COUNTIFS(KabKota[Regional], B409, KabKota[Rata-rata Skor], "&gt;"&amp;M409) + 1</f>
        <v>56</v>
      </c>
    </row>
    <row r="410" ht="22.5" customHeight="1">
      <c r="A410" s="5">
        <v>433.0</v>
      </c>
      <c r="B410" s="5" t="s">
        <v>75</v>
      </c>
      <c r="C410" s="5" t="s">
        <v>46</v>
      </c>
      <c r="D410" s="5" t="s">
        <v>474</v>
      </c>
      <c r="E410" s="7">
        <v>71.19</v>
      </c>
      <c r="F410" s="8">
        <v>0.014</v>
      </c>
      <c r="G410" s="7">
        <f>VLOOKUP(C410,Provinsi[[#ALL],[Daerah]:[IDI]],4,0)</f>
        <v>6.03</v>
      </c>
      <c r="H410" s="9">
        <f>VLOOKUP(C410,Provinsi[[#ALL],[Daerah]:[IDI]],5,0)</f>
        <v>78.04</v>
      </c>
      <c r="I410" s="9">
        <f>(E410 - MIN(KabKota[IPM])) / (MAX(KabKota[IPM]) - MIN(KabKota[IPM])) * 100</f>
        <v>62.68292683</v>
      </c>
      <c r="J410" s="9">
        <f>(F410 - MIN(KabKota[IKF])) / (MAX(KabKota[IKF]) - MIN(KabKota[IKF])) * 100</f>
        <v>1.75</v>
      </c>
      <c r="K410" s="9">
        <f>(G410 - MIN(KabKota[TIK])) / (MAX(KabKota[TIK]) - MIN(KabKota[TIK])) * 100</f>
        <v>57.17592593</v>
      </c>
      <c r="L410" s="9">
        <f>(H410 - MIN(KabKota[IDI])) / (MAX(KabKota[IDI]) - MIN(KabKota[IDI])) * 100</f>
        <v>87.43977591</v>
      </c>
      <c r="M410" s="9">
        <f t="shared" si="1"/>
        <v>52.26215717</v>
      </c>
      <c r="N410" s="11">
        <f>_xlfn.RANK.EQ(M410,KabKota[Rata-rata Skor])</f>
        <v>409</v>
      </c>
      <c r="O410" s="6">
        <f>COUNTIFS(KabKota[Regional], B410, KabKota[Rata-rata Skor], "&gt;"&amp;M410) + 1</f>
        <v>61</v>
      </c>
    </row>
    <row r="411" ht="22.5" customHeight="1">
      <c r="A411" s="5">
        <v>397.0</v>
      </c>
      <c r="B411" s="5" t="s">
        <v>75</v>
      </c>
      <c r="C411" s="5" t="s">
        <v>47</v>
      </c>
      <c r="D411" s="5" t="s">
        <v>475</v>
      </c>
      <c r="E411" s="7">
        <v>72.16</v>
      </c>
      <c r="F411" s="8">
        <v>0.005</v>
      </c>
      <c r="G411" s="7">
        <f>VLOOKUP(C411,Provinsi[[#ALL],[Daerah]:[IDI]],4,0)</f>
        <v>5.93</v>
      </c>
      <c r="H411" s="9">
        <f>VLOOKUP(C411,Provinsi[[#ALL],[Daerah]:[IDI]],5,0)</f>
        <v>79.35</v>
      </c>
      <c r="I411" s="9">
        <f>(E411 - MIN(KabKota[IPM])) / (MAX(KabKota[IPM]) - MIN(KabKota[IPM])) * 100</f>
        <v>64.65447154</v>
      </c>
      <c r="J411" s="9">
        <f>(F411 - MIN(KabKota[IKF])) / (MAX(KabKota[IKF]) - MIN(KabKota[IKF])) * 100</f>
        <v>0.625</v>
      </c>
      <c r="K411" s="9">
        <f>(G411 - MIN(KabKota[TIK])) / (MAX(KabKota[TIK]) - MIN(KabKota[TIK])) * 100</f>
        <v>54.86111111</v>
      </c>
      <c r="L411" s="9">
        <f>(H411 - MIN(KabKota[IDI])) / (MAX(KabKota[IDI]) - MIN(KabKota[IDI])) * 100</f>
        <v>88.90756303</v>
      </c>
      <c r="M411" s="9">
        <f t="shared" si="1"/>
        <v>52.26203642</v>
      </c>
      <c r="N411" s="11">
        <f>_xlfn.RANK.EQ(M411,KabKota[Rata-rata Skor])</f>
        <v>410</v>
      </c>
      <c r="O411" s="6">
        <f>COUNTIFS(KabKota[Regional], B411, KabKota[Rata-rata Skor], "&gt;"&amp;M411) + 1</f>
        <v>62</v>
      </c>
    </row>
    <row r="412" ht="22.5" customHeight="1">
      <c r="A412" s="5">
        <v>132.0</v>
      </c>
      <c r="B412" s="5" t="s">
        <v>70</v>
      </c>
      <c r="C412" s="5" t="s">
        <v>43</v>
      </c>
      <c r="D412" s="5" t="s">
        <v>476</v>
      </c>
      <c r="E412" s="7">
        <v>73.92</v>
      </c>
      <c r="F412" s="8">
        <v>0.038</v>
      </c>
      <c r="G412" s="7">
        <f>VLOOKUP(C412,Provinsi[[#ALL],[Daerah]:[IDI]],4,0)</f>
        <v>5.91</v>
      </c>
      <c r="H412" s="9">
        <f>VLOOKUP(C412,Provinsi[[#ALL],[Daerah]:[IDI]],5,0)</f>
        <v>72.62</v>
      </c>
      <c r="I412" s="9">
        <f>(E412 - MIN(KabKota[IPM])) / (MAX(KabKota[IPM]) - MIN(KabKota[IPM])) * 100</f>
        <v>68.23170732</v>
      </c>
      <c r="J412" s="9">
        <f>(F412 - MIN(KabKota[IKF])) / (MAX(KabKota[IKF]) - MIN(KabKota[IKF])) * 100</f>
        <v>4.75</v>
      </c>
      <c r="K412" s="9">
        <f>(G412 - MIN(KabKota[TIK])) / (MAX(KabKota[TIK]) - MIN(KabKota[TIK])) * 100</f>
        <v>54.39814815</v>
      </c>
      <c r="L412" s="9">
        <f>(H412 - MIN(KabKota[IDI])) / (MAX(KabKota[IDI]) - MIN(KabKota[IDI])) * 100</f>
        <v>81.36694678</v>
      </c>
      <c r="M412" s="9">
        <f t="shared" si="1"/>
        <v>52.18670056</v>
      </c>
      <c r="N412" s="11">
        <f>_xlfn.RANK.EQ(M412,KabKota[Rata-rata Skor])</f>
        <v>411</v>
      </c>
      <c r="O412" s="6">
        <f>COUNTIFS(KabKota[Regional], B412, KabKota[Rata-rata Skor], "&gt;"&amp;M412) + 1</f>
        <v>145</v>
      </c>
    </row>
    <row r="413" ht="22.5" customHeight="1">
      <c r="A413" s="5">
        <v>426.0</v>
      </c>
      <c r="B413" s="5" t="s">
        <v>75</v>
      </c>
      <c r="C413" s="5" t="s">
        <v>46</v>
      </c>
      <c r="D413" s="5" t="s">
        <v>477</v>
      </c>
      <c r="E413" s="7">
        <v>70.22</v>
      </c>
      <c r="F413" s="8">
        <v>0.027</v>
      </c>
      <c r="G413" s="7">
        <f>VLOOKUP(C413,Provinsi[[#ALL],[Daerah]:[IDI]],4,0)</f>
        <v>6.03</v>
      </c>
      <c r="H413" s="9">
        <f>VLOOKUP(C413,Provinsi[[#ALL],[Daerah]:[IDI]],5,0)</f>
        <v>78.04</v>
      </c>
      <c r="I413" s="9">
        <f>(E413 - MIN(KabKota[IPM])) / (MAX(KabKota[IPM]) - MIN(KabKota[IPM])) * 100</f>
        <v>60.71138211</v>
      </c>
      <c r="J413" s="9">
        <f>(F413 - MIN(KabKota[IKF])) / (MAX(KabKota[IKF]) - MIN(KabKota[IKF])) * 100</f>
        <v>3.375</v>
      </c>
      <c r="K413" s="9">
        <f>(G413 - MIN(KabKota[TIK])) / (MAX(KabKota[TIK]) - MIN(KabKota[TIK])) * 100</f>
        <v>57.17592593</v>
      </c>
      <c r="L413" s="9">
        <f>(H413 - MIN(KabKota[IDI])) / (MAX(KabKota[IDI]) - MIN(KabKota[IDI])) * 100</f>
        <v>87.43977591</v>
      </c>
      <c r="M413" s="9">
        <f t="shared" si="1"/>
        <v>52.17552099</v>
      </c>
      <c r="N413" s="11">
        <f>_xlfn.RANK.EQ(M413,KabKota[Rata-rata Skor])</f>
        <v>412</v>
      </c>
      <c r="O413" s="6">
        <f>COUNTIFS(KabKota[Regional], B413, KabKota[Rata-rata Skor], "&gt;"&amp;M413) + 1</f>
        <v>63</v>
      </c>
    </row>
    <row r="414" ht="22.5" customHeight="1">
      <c r="A414" s="5">
        <v>301.0</v>
      </c>
      <c r="B414" s="5" t="s">
        <v>60</v>
      </c>
      <c r="C414" s="5" t="s">
        <v>52</v>
      </c>
      <c r="D414" s="5" t="s">
        <v>478</v>
      </c>
      <c r="E414" s="7">
        <v>72.53</v>
      </c>
      <c r="F414" s="8">
        <v>0.1</v>
      </c>
      <c r="G414" s="7">
        <f>VLOOKUP(C414,Provinsi[[#ALL],[Daerah]:[IDI]],4,0)</f>
        <v>5.36</v>
      </c>
      <c r="H414" s="9">
        <f>VLOOKUP(C414,Provinsi[[#ALL],[Daerah]:[IDI]],5,0)</f>
        <v>79.47</v>
      </c>
      <c r="I414" s="9">
        <f>(E414 - MIN(KabKota[IPM])) / (MAX(KabKota[IPM]) - MIN(KabKota[IPM])) * 100</f>
        <v>65.40650407</v>
      </c>
      <c r="J414" s="9">
        <f>(F414 - MIN(KabKota[IKF])) / (MAX(KabKota[IKF]) - MIN(KabKota[IKF])) * 100</f>
        <v>12.5</v>
      </c>
      <c r="K414" s="9">
        <f>(G414 - MIN(KabKota[TIK])) / (MAX(KabKota[TIK]) - MIN(KabKota[TIK])) * 100</f>
        <v>41.66666667</v>
      </c>
      <c r="L414" s="9">
        <f>(H414 - MIN(KabKota[IDI])) / (MAX(KabKota[IDI]) - MIN(KabKota[IDI])) * 100</f>
        <v>89.04201681</v>
      </c>
      <c r="M414" s="9">
        <f t="shared" si="1"/>
        <v>52.15379688</v>
      </c>
      <c r="N414" s="11">
        <f>_xlfn.RANK.EQ(M414,KabKota[Rata-rata Skor])</f>
        <v>413</v>
      </c>
      <c r="O414" s="6">
        <f>COUNTIFS(KabKota[Regional], B414, KabKota[Rata-rata Skor], "&gt;"&amp;M414) + 1</f>
        <v>21</v>
      </c>
    </row>
    <row r="415" ht="22.5" customHeight="1">
      <c r="A415" s="5">
        <v>395.0</v>
      </c>
      <c r="B415" s="5" t="s">
        <v>75</v>
      </c>
      <c r="C415" s="5" t="s">
        <v>47</v>
      </c>
      <c r="D415" s="5" t="s">
        <v>479</v>
      </c>
      <c r="E415" s="7">
        <v>71.68</v>
      </c>
      <c r="F415" s="8">
        <v>0.006</v>
      </c>
      <c r="G415" s="7">
        <f>VLOOKUP(C415,Provinsi[[#ALL],[Daerah]:[IDI]],4,0)</f>
        <v>5.93</v>
      </c>
      <c r="H415" s="9">
        <f>VLOOKUP(C415,Provinsi[[#ALL],[Daerah]:[IDI]],5,0)</f>
        <v>79.35</v>
      </c>
      <c r="I415" s="9">
        <f>(E415 - MIN(KabKota[IPM])) / (MAX(KabKota[IPM]) - MIN(KabKota[IPM])) * 100</f>
        <v>63.67886179</v>
      </c>
      <c r="J415" s="9">
        <f>(F415 - MIN(KabKota[IKF])) / (MAX(KabKota[IKF]) - MIN(KabKota[IKF])) * 100</f>
        <v>0.75</v>
      </c>
      <c r="K415" s="9">
        <f>(G415 - MIN(KabKota[TIK])) / (MAX(KabKota[TIK]) - MIN(KabKota[TIK])) * 100</f>
        <v>54.86111111</v>
      </c>
      <c r="L415" s="9">
        <f>(H415 - MIN(KabKota[IDI])) / (MAX(KabKota[IDI]) - MIN(KabKota[IDI])) * 100</f>
        <v>88.90756303</v>
      </c>
      <c r="M415" s="9">
        <f t="shared" si="1"/>
        <v>52.04938398</v>
      </c>
      <c r="N415" s="11">
        <f>_xlfn.RANK.EQ(M415,KabKota[Rata-rata Skor])</f>
        <v>414</v>
      </c>
      <c r="O415" s="6">
        <f>COUNTIFS(KabKota[Regional], B415, KabKota[Rata-rata Skor], "&gt;"&amp;M415) + 1</f>
        <v>64</v>
      </c>
    </row>
    <row r="416" ht="22.5" customHeight="1">
      <c r="A416" s="5">
        <v>254.0</v>
      </c>
      <c r="B416" s="5" t="s">
        <v>63</v>
      </c>
      <c r="C416" s="5" t="s">
        <v>23</v>
      </c>
      <c r="D416" s="5" t="s">
        <v>480</v>
      </c>
      <c r="E416" s="7">
        <v>67.23</v>
      </c>
      <c r="F416" s="8">
        <v>0.008</v>
      </c>
      <c r="G416" s="7">
        <f>VLOOKUP(C416,Provinsi[[#ALL],[Daerah]:[IDI]],4,0)</f>
        <v>6.07</v>
      </c>
      <c r="H416" s="9">
        <f>VLOOKUP(C416,Provinsi[[#ALL],[Daerah]:[IDI]],5,0)</f>
        <v>84.17</v>
      </c>
      <c r="I416" s="9">
        <f>(E416 - MIN(KabKota[IPM])) / (MAX(KabKota[IPM]) - MIN(KabKota[IPM])) * 100</f>
        <v>54.63414634</v>
      </c>
      <c r="J416" s="9">
        <f>(F416 - MIN(KabKota[IKF])) / (MAX(KabKota[IKF]) - MIN(KabKota[IKF])) * 100</f>
        <v>1</v>
      </c>
      <c r="K416" s="9">
        <f>(G416 - MIN(KabKota[TIK])) / (MAX(KabKota[TIK]) - MIN(KabKota[TIK])) * 100</f>
        <v>58.10185185</v>
      </c>
      <c r="L416" s="9">
        <f>(H416 - MIN(KabKota[IDI])) / (MAX(KabKota[IDI]) - MIN(KabKota[IDI])) * 100</f>
        <v>94.30812325</v>
      </c>
      <c r="M416" s="9">
        <f t="shared" si="1"/>
        <v>52.01103036</v>
      </c>
      <c r="N416" s="11">
        <f>_xlfn.RANK.EQ(M416,KabKota[Rata-rata Skor])</f>
        <v>415</v>
      </c>
      <c r="O416" s="6">
        <f>COUNTIFS(KabKota[Regional], B416, KabKota[Rata-rata Skor], "&gt;"&amp;M416) + 1</f>
        <v>119</v>
      </c>
    </row>
    <row r="417" ht="22.5" customHeight="1">
      <c r="A417" s="5">
        <v>450.0</v>
      </c>
      <c r="B417" s="5" t="s">
        <v>75</v>
      </c>
      <c r="C417" s="5" t="s">
        <v>50</v>
      </c>
      <c r="D417" s="5" t="s">
        <v>481</v>
      </c>
      <c r="E417" s="7">
        <v>74.15</v>
      </c>
      <c r="F417" s="8">
        <v>0.043</v>
      </c>
      <c r="G417" s="7">
        <f>VLOOKUP(C417,Provinsi[[#ALL],[Daerah]:[IDI]],4,0)</f>
        <v>5.73</v>
      </c>
      <c r="H417" s="9">
        <f>VLOOKUP(C417,Provinsi[[#ALL],[Daerah]:[IDI]],5,0)</f>
        <v>74.56</v>
      </c>
      <c r="I417" s="9">
        <f>(E417 - MIN(KabKota[IPM])) / (MAX(KabKota[IPM]) - MIN(KabKota[IPM])) * 100</f>
        <v>68.69918699</v>
      </c>
      <c r="J417" s="9">
        <f>(F417 - MIN(KabKota[IKF])) / (MAX(KabKota[IKF]) - MIN(KabKota[IKF])) * 100</f>
        <v>5.375</v>
      </c>
      <c r="K417" s="9">
        <f>(G417 - MIN(KabKota[TIK])) / (MAX(KabKota[TIK]) - MIN(KabKota[TIK])) * 100</f>
        <v>50.23148148</v>
      </c>
      <c r="L417" s="9">
        <f>(H417 - MIN(KabKota[IDI])) / (MAX(KabKota[IDI]) - MIN(KabKota[IDI])) * 100</f>
        <v>83.54061625</v>
      </c>
      <c r="M417" s="9">
        <f t="shared" si="1"/>
        <v>51.96157118</v>
      </c>
      <c r="N417" s="11">
        <f>_xlfn.RANK.EQ(M417,KabKota[Rata-rata Skor])</f>
        <v>416</v>
      </c>
      <c r="O417" s="6">
        <f>COUNTIFS(KabKota[Regional], B417, KabKota[Rata-rata Skor], "&gt;"&amp;M417) + 1</f>
        <v>65</v>
      </c>
    </row>
    <row r="418" ht="22.5" customHeight="1">
      <c r="A418" s="5">
        <v>447.0</v>
      </c>
      <c r="B418" s="5" t="s">
        <v>75</v>
      </c>
      <c r="C418" s="5" t="s">
        <v>50</v>
      </c>
      <c r="D418" s="5" t="s">
        <v>482</v>
      </c>
      <c r="E418" s="7">
        <v>72.77</v>
      </c>
      <c r="F418" s="8">
        <v>0.065</v>
      </c>
      <c r="G418" s="7">
        <f>VLOOKUP(C418,Provinsi[[#ALL],[Daerah]:[IDI]],4,0)</f>
        <v>5.73</v>
      </c>
      <c r="H418" s="9">
        <f>VLOOKUP(C418,Provinsi[[#ALL],[Daerah]:[IDI]],5,0)</f>
        <v>74.56</v>
      </c>
      <c r="I418" s="9">
        <f>(E418 - MIN(KabKota[IPM])) / (MAX(KabKota[IPM]) - MIN(KabKota[IPM])) * 100</f>
        <v>65.89430894</v>
      </c>
      <c r="J418" s="9">
        <f>(F418 - MIN(KabKota[IKF])) / (MAX(KabKota[IKF]) - MIN(KabKota[IKF])) * 100</f>
        <v>8.125</v>
      </c>
      <c r="K418" s="9">
        <f>(G418 - MIN(KabKota[TIK])) / (MAX(KabKota[TIK]) - MIN(KabKota[TIK])) * 100</f>
        <v>50.23148148</v>
      </c>
      <c r="L418" s="9">
        <f>(H418 - MIN(KabKota[IDI])) / (MAX(KabKota[IDI]) - MIN(KabKota[IDI])) * 100</f>
        <v>83.54061625</v>
      </c>
      <c r="M418" s="9">
        <f t="shared" si="1"/>
        <v>51.94785167</v>
      </c>
      <c r="N418" s="11">
        <f>_xlfn.RANK.EQ(M418,KabKota[Rata-rata Skor])</f>
        <v>417</v>
      </c>
      <c r="O418" s="6">
        <f>COUNTIFS(KabKota[Regional], B418, KabKota[Rata-rata Skor], "&gt;"&amp;M418) + 1</f>
        <v>66</v>
      </c>
    </row>
    <row r="419" ht="22.5" customHeight="1">
      <c r="A419" s="5">
        <v>393.0</v>
      </c>
      <c r="B419" s="5" t="s">
        <v>75</v>
      </c>
      <c r="C419" s="5" t="s">
        <v>47</v>
      </c>
      <c r="D419" s="5" t="s">
        <v>483</v>
      </c>
      <c r="E419" s="7">
        <v>69.99</v>
      </c>
      <c r="F419" s="8">
        <v>0.03</v>
      </c>
      <c r="G419" s="7">
        <f>VLOOKUP(C419,Provinsi[[#ALL],[Daerah]:[IDI]],4,0)</f>
        <v>5.93</v>
      </c>
      <c r="H419" s="9">
        <f>VLOOKUP(C419,Provinsi[[#ALL],[Daerah]:[IDI]],5,0)</f>
        <v>79.35</v>
      </c>
      <c r="I419" s="9">
        <f>(E419 - MIN(KabKota[IPM])) / (MAX(KabKota[IPM]) - MIN(KabKota[IPM])) * 100</f>
        <v>60.24390244</v>
      </c>
      <c r="J419" s="9">
        <f>(F419 - MIN(KabKota[IKF])) / (MAX(KabKota[IKF]) - MIN(KabKota[IKF])) * 100</f>
        <v>3.75</v>
      </c>
      <c r="K419" s="9">
        <f>(G419 - MIN(KabKota[TIK])) / (MAX(KabKota[TIK]) - MIN(KabKota[TIK])) * 100</f>
        <v>54.86111111</v>
      </c>
      <c r="L419" s="9">
        <f>(H419 - MIN(KabKota[IDI])) / (MAX(KabKota[IDI]) - MIN(KabKota[IDI])) * 100</f>
        <v>88.90756303</v>
      </c>
      <c r="M419" s="9">
        <f t="shared" si="1"/>
        <v>51.94064414</v>
      </c>
      <c r="N419" s="11">
        <f>_xlfn.RANK.EQ(M419,KabKota[Rata-rata Skor])</f>
        <v>418</v>
      </c>
      <c r="O419" s="6">
        <f>COUNTIFS(KabKota[Regional], B419, KabKota[Rata-rata Skor], "&gt;"&amp;M419) + 1</f>
        <v>67</v>
      </c>
    </row>
    <row r="420" ht="22.5" customHeight="1">
      <c r="A420" s="5">
        <v>288.0</v>
      </c>
      <c r="B420" s="5" t="s">
        <v>60</v>
      </c>
      <c r="C420" s="5" t="s">
        <v>45</v>
      </c>
      <c r="D420" s="5" t="s">
        <v>484</v>
      </c>
      <c r="E420" s="7">
        <v>71.97</v>
      </c>
      <c r="F420" s="8">
        <v>0.032</v>
      </c>
      <c r="G420" s="7">
        <f>VLOOKUP(C420,Provinsi[[#ALL],[Daerah]:[IDI]],4,0)</f>
        <v>5.88</v>
      </c>
      <c r="H420" s="9">
        <f>VLOOKUP(C420,Provinsi[[#ALL],[Daerah]:[IDI]],5,0)</f>
        <v>76.37</v>
      </c>
      <c r="I420" s="9">
        <f>(E420 - MIN(KabKota[IPM])) / (MAX(KabKota[IPM]) - MIN(KabKota[IPM])) * 100</f>
        <v>64.26829268</v>
      </c>
      <c r="J420" s="9">
        <f>(F420 - MIN(KabKota[IKF])) / (MAX(KabKota[IKF]) - MIN(KabKota[IKF])) * 100</f>
        <v>4</v>
      </c>
      <c r="K420" s="9">
        <f>(G420 - MIN(KabKota[TIK])) / (MAX(KabKota[TIK]) - MIN(KabKota[TIK])) * 100</f>
        <v>53.7037037</v>
      </c>
      <c r="L420" s="9">
        <f>(H420 - MIN(KabKota[IDI])) / (MAX(KabKota[IDI]) - MIN(KabKota[IDI])) * 100</f>
        <v>85.56862745</v>
      </c>
      <c r="M420" s="9">
        <f t="shared" si="1"/>
        <v>51.88515596</v>
      </c>
      <c r="N420" s="11">
        <f>_xlfn.RANK.EQ(M420,KabKota[Rata-rata Skor])</f>
        <v>419</v>
      </c>
      <c r="O420" s="6">
        <f>COUNTIFS(KabKota[Regional], B420, KabKota[Rata-rata Skor], "&gt;"&amp;M420) + 1</f>
        <v>22</v>
      </c>
    </row>
    <row r="421" ht="22.5" customHeight="1">
      <c r="A421" s="5">
        <v>129.0</v>
      </c>
      <c r="B421" s="5" t="s">
        <v>70</v>
      </c>
      <c r="C421" s="5" t="s">
        <v>43</v>
      </c>
      <c r="D421" s="5" t="s">
        <v>485</v>
      </c>
      <c r="E421" s="7">
        <v>73.14</v>
      </c>
      <c r="F421" s="8">
        <v>0.04</v>
      </c>
      <c r="G421" s="7">
        <f>VLOOKUP(C421,Provinsi[[#ALL],[Daerah]:[IDI]],4,0)</f>
        <v>5.91</v>
      </c>
      <c r="H421" s="9">
        <f>VLOOKUP(C421,Provinsi[[#ALL],[Daerah]:[IDI]],5,0)</f>
        <v>72.62</v>
      </c>
      <c r="I421" s="9">
        <f>(E421 - MIN(KabKota[IPM])) / (MAX(KabKota[IPM]) - MIN(KabKota[IPM])) * 100</f>
        <v>66.64634146</v>
      </c>
      <c r="J421" s="9">
        <f>(F421 - MIN(KabKota[IKF])) / (MAX(KabKota[IKF]) - MIN(KabKota[IKF])) * 100</f>
        <v>5</v>
      </c>
      <c r="K421" s="9">
        <f>(G421 - MIN(KabKota[TIK])) / (MAX(KabKota[TIK]) - MIN(KabKota[TIK])) * 100</f>
        <v>54.39814815</v>
      </c>
      <c r="L421" s="9">
        <f>(H421 - MIN(KabKota[IDI])) / (MAX(KabKota[IDI]) - MIN(KabKota[IDI])) * 100</f>
        <v>81.36694678</v>
      </c>
      <c r="M421" s="9">
        <f t="shared" si="1"/>
        <v>51.8528591</v>
      </c>
      <c r="N421" s="11">
        <f>_xlfn.RANK.EQ(M421,KabKota[Rata-rata Skor])</f>
        <v>420</v>
      </c>
      <c r="O421" s="6">
        <f>COUNTIFS(KabKota[Regional], B421, KabKota[Rata-rata Skor], "&gt;"&amp;M421) + 1</f>
        <v>146</v>
      </c>
    </row>
    <row r="422" ht="22.5" customHeight="1">
      <c r="A422" s="5">
        <v>137.0</v>
      </c>
      <c r="B422" s="5" t="s">
        <v>70</v>
      </c>
      <c r="C422" s="5" t="s">
        <v>43</v>
      </c>
      <c r="D422" s="5" t="s">
        <v>486</v>
      </c>
      <c r="E422" s="7">
        <v>70.61</v>
      </c>
      <c r="F422" s="8">
        <v>0.079</v>
      </c>
      <c r="G422" s="7">
        <f>VLOOKUP(C422,Provinsi[[#ALL],[Daerah]:[IDI]],4,0)</f>
        <v>5.91</v>
      </c>
      <c r="H422" s="9">
        <f>VLOOKUP(C422,Provinsi[[#ALL],[Daerah]:[IDI]],5,0)</f>
        <v>72.62</v>
      </c>
      <c r="I422" s="9">
        <f>(E422 - MIN(KabKota[IPM])) / (MAX(KabKota[IPM]) - MIN(KabKota[IPM])) * 100</f>
        <v>61.50406504</v>
      </c>
      <c r="J422" s="9">
        <f>(F422 - MIN(KabKota[IKF])) / (MAX(KabKota[IKF]) - MIN(KabKota[IKF])) * 100</f>
        <v>9.875</v>
      </c>
      <c r="K422" s="9">
        <f>(G422 - MIN(KabKota[TIK])) / (MAX(KabKota[TIK]) - MIN(KabKota[TIK])) * 100</f>
        <v>54.39814815</v>
      </c>
      <c r="L422" s="9">
        <f>(H422 - MIN(KabKota[IDI])) / (MAX(KabKota[IDI]) - MIN(KabKota[IDI])) * 100</f>
        <v>81.36694678</v>
      </c>
      <c r="M422" s="9">
        <f t="shared" si="1"/>
        <v>51.78603999</v>
      </c>
      <c r="N422" s="11">
        <f>_xlfn.RANK.EQ(M422,KabKota[Rata-rata Skor])</f>
        <v>421</v>
      </c>
      <c r="O422" s="6">
        <f>COUNTIFS(KabKota[Regional], B422, KabKota[Rata-rata Skor], "&gt;"&amp;M422) + 1</f>
        <v>147</v>
      </c>
    </row>
    <row r="423" ht="22.5" customHeight="1">
      <c r="A423" s="5">
        <v>442.0</v>
      </c>
      <c r="B423" s="5" t="s">
        <v>75</v>
      </c>
      <c r="C423" s="5" t="s">
        <v>48</v>
      </c>
      <c r="D423" s="5" t="s">
        <v>487</v>
      </c>
      <c r="E423" s="7">
        <v>73.3</v>
      </c>
      <c r="F423" s="8">
        <v>0.025</v>
      </c>
      <c r="G423" s="7">
        <f>VLOOKUP(C423,Provinsi[[#ALL],[Daerah]:[IDI]],4,0)</f>
        <v>5.85</v>
      </c>
      <c r="H423" s="9">
        <f>VLOOKUP(C423,Provinsi[[#ALL],[Daerah]:[IDI]],5,0)</f>
        <v>74.57</v>
      </c>
      <c r="I423" s="9">
        <f>(E423 - MIN(KabKota[IPM])) / (MAX(KabKota[IPM]) - MIN(KabKota[IPM])) * 100</f>
        <v>66.97154472</v>
      </c>
      <c r="J423" s="9">
        <f>(F423 - MIN(KabKota[IKF])) / (MAX(KabKota[IKF]) - MIN(KabKota[IKF])) * 100</f>
        <v>3.125</v>
      </c>
      <c r="K423" s="9">
        <f>(G423 - MIN(KabKota[TIK])) / (MAX(KabKota[TIK]) - MIN(KabKota[TIK])) * 100</f>
        <v>53.00925926</v>
      </c>
      <c r="L423" s="9">
        <f>(H423 - MIN(KabKota[IDI])) / (MAX(KabKota[IDI]) - MIN(KabKota[IDI])) * 100</f>
        <v>83.55182073</v>
      </c>
      <c r="M423" s="9">
        <f t="shared" si="1"/>
        <v>51.66440618</v>
      </c>
      <c r="N423" s="11">
        <f>_xlfn.RANK.EQ(M423,KabKota[Rata-rata Skor])</f>
        <v>422</v>
      </c>
      <c r="O423" s="6">
        <f>COUNTIFS(KabKota[Regional], B423, KabKota[Rata-rata Skor], "&gt;"&amp;M423) + 1</f>
        <v>68</v>
      </c>
    </row>
    <row r="424" ht="22.5" customHeight="1">
      <c r="A424" s="5">
        <v>486.0</v>
      </c>
      <c r="B424" s="5" t="s">
        <v>180</v>
      </c>
      <c r="C424" s="5" t="s">
        <v>26</v>
      </c>
      <c r="D424" s="5" t="s">
        <v>488</v>
      </c>
      <c r="E424" s="7">
        <v>69.7</v>
      </c>
      <c r="F424" s="8">
        <v>0.213</v>
      </c>
      <c r="G424" s="7">
        <f>VLOOKUP(C424,Provinsi[[#ALL],[Daerah]:[IDI]],4,0)</f>
        <v>5.61</v>
      </c>
      <c r="H424" s="9">
        <f>VLOOKUP(C424,Provinsi[[#ALL],[Daerah]:[IDI]],5,0)</f>
        <v>64.74</v>
      </c>
      <c r="I424" s="9">
        <f>(E424 - MIN(KabKota[IPM])) / (MAX(KabKota[IPM]) - MIN(KabKota[IPM])) * 100</f>
        <v>59.65447154</v>
      </c>
      <c r="J424" s="9">
        <f>(F424 - MIN(KabKota[IKF])) / (MAX(KabKota[IKF]) - MIN(KabKota[IKF])) * 100</f>
        <v>26.625</v>
      </c>
      <c r="K424" s="9">
        <f>(G424 - MIN(KabKota[TIK])) / (MAX(KabKota[TIK]) - MIN(KabKota[TIK])) * 100</f>
        <v>47.4537037</v>
      </c>
      <c r="L424" s="9">
        <f>(H424 - MIN(KabKota[IDI])) / (MAX(KabKota[IDI]) - MIN(KabKota[IDI])) * 100</f>
        <v>72.53781513</v>
      </c>
      <c r="M424" s="9">
        <f t="shared" si="1"/>
        <v>51.56774759</v>
      </c>
      <c r="N424" s="11">
        <f>_xlfn.RANK.EQ(M424,KabKota[Rata-rata Skor])</f>
        <v>423</v>
      </c>
      <c r="O424" s="6">
        <f>COUNTIFS(KabKota[Regional], B424, KabKota[Rata-rata Skor], "&gt;"&amp;M424) + 1</f>
        <v>11</v>
      </c>
    </row>
    <row r="425" ht="22.5" customHeight="1">
      <c r="A425" s="5">
        <v>435.0</v>
      </c>
      <c r="B425" s="5" t="s">
        <v>75</v>
      </c>
      <c r="C425" s="5" t="s">
        <v>46</v>
      </c>
      <c r="D425" s="5" t="s">
        <v>489</v>
      </c>
      <c r="E425" s="7">
        <v>69.18</v>
      </c>
      <c r="F425" s="8">
        <v>0.021</v>
      </c>
      <c r="G425" s="7">
        <f>VLOOKUP(C425,Provinsi[[#ALL],[Daerah]:[IDI]],4,0)</f>
        <v>6.03</v>
      </c>
      <c r="H425" s="9">
        <f>VLOOKUP(C425,Provinsi[[#ALL],[Daerah]:[IDI]],5,0)</f>
        <v>78.04</v>
      </c>
      <c r="I425" s="9">
        <f>(E425 - MIN(KabKota[IPM])) / (MAX(KabKota[IPM]) - MIN(KabKota[IPM])) * 100</f>
        <v>58.59756098</v>
      </c>
      <c r="J425" s="9">
        <f>(F425 - MIN(KabKota[IKF])) / (MAX(KabKota[IKF]) - MIN(KabKota[IKF])) * 100</f>
        <v>2.625</v>
      </c>
      <c r="K425" s="9">
        <f>(G425 - MIN(KabKota[TIK])) / (MAX(KabKota[TIK]) - MIN(KabKota[TIK])) * 100</f>
        <v>57.17592593</v>
      </c>
      <c r="L425" s="9">
        <f>(H425 - MIN(KabKota[IDI])) / (MAX(KabKota[IDI]) - MIN(KabKota[IDI])) * 100</f>
        <v>87.43977591</v>
      </c>
      <c r="M425" s="9">
        <f t="shared" si="1"/>
        <v>51.4595657</v>
      </c>
      <c r="N425" s="11">
        <f>_xlfn.RANK.EQ(M425,KabKota[Rata-rata Skor])</f>
        <v>424</v>
      </c>
      <c r="O425" s="6">
        <f>COUNTIFS(KabKota[Regional], B425, KabKota[Rata-rata Skor], "&gt;"&amp;M425) + 1</f>
        <v>69</v>
      </c>
    </row>
    <row r="426" ht="22.5" customHeight="1">
      <c r="A426" s="5">
        <v>464.0</v>
      </c>
      <c r="B426" s="5" t="s">
        <v>180</v>
      </c>
      <c r="C426" s="5" t="s">
        <v>51</v>
      </c>
      <c r="D426" s="5" t="s">
        <v>490</v>
      </c>
      <c r="E426" s="7">
        <v>71.57</v>
      </c>
      <c r="F426" s="8">
        <v>0.135</v>
      </c>
      <c r="G426" s="7">
        <f>VLOOKUP(C426,Provinsi[[#ALL],[Daerah]:[IDI]],4,0)</f>
        <v>5.68</v>
      </c>
      <c r="H426" s="9">
        <f>VLOOKUP(C426,Provinsi[[#ALL],[Daerah]:[IDI]],5,0)</f>
        <v>67.8</v>
      </c>
      <c r="I426" s="9">
        <f>(E426 - MIN(KabKota[IPM])) / (MAX(KabKota[IPM]) - MIN(KabKota[IPM])) * 100</f>
        <v>63.45528455</v>
      </c>
      <c r="J426" s="9">
        <f>(F426 - MIN(KabKota[IKF])) / (MAX(KabKota[IKF]) - MIN(KabKota[IKF])) * 100</f>
        <v>16.875</v>
      </c>
      <c r="K426" s="9">
        <f>(G426 - MIN(KabKota[TIK])) / (MAX(KabKota[TIK]) - MIN(KabKota[TIK])) * 100</f>
        <v>49.07407407</v>
      </c>
      <c r="L426" s="9">
        <f>(H426 - MIN(KabKota[IDI])) / (MAX(KabKota[IDI]) - MIN(KabKota[IDI])) * 100</f>
        <v>75.96638655</v>
      </c>
      <c r="M426" s="9">
        <f t="shared" si="1"/>
        <v>51.3426863</v>
      </c>
      <c r="N426" s="11">
        <f>_xlfn.RANK.EQ(M426,KabKota[Rata-rata Skor])</f>
        <v>425</v>
      </c>
      <c r="O426" s="6">
        <f>COUNTIFS(KabKota[Regional], B426, KabKota[Rata-rata Skor], "&gt;"&amp;M426) + 1</f>
        <v>12</v>
      </c>
    </row>
    <row r="427" ht="22.5" customHeight="1">
      <c r="A427" s="5">
        <v>396.0</v>
      </c>
      <c r="B427" s="5" t="s">
        <v>75</v>
      </c>
      <c r="C427" s="5" t="s">
        <v>47</v>
      </c>
      <c r="D427" s="5" t="s">
        <v>491</v>
      </c>
      <c r="E427" s="7">
        <v>70.46</v>
      </c>
      <c r="F427" s="8">
        <v>0.001</v>
      </c>
      <c r="G427" s="7">
        <f>VLOOKUP(C427,Provinsi[[#ALL],[Daerah]:[IDI]],4,0)</f>
        <v>5.93</v>
      </c>
      <c r="H427" s="9">
        <f>VLOOKUP(C427,Provinsi[[#ALL],[Daerah]:[IDI]],5,0)</f>
        <v>79.35</v>
      </c>
      <c r="I427" s="9">
        <f>(E427 - MIN(KabKota[IPM])) / (MAX(KabKota[IPM]) - MIN(KabKota[IPM])) * 100</f>
        <v>61.19918699</v>
      </c>
      <c r="J427" s="9">
        <f>(F427 - MIN(KabKota[IKF])) / (MAX(KabKota[IKF]) - MIN(KabKota[IKF])) * 100</f>
        <v>0.125</v>
      </c>
      <c r="K427" s="9">
        <f>(G427 - MIN(KabKota[TIK])) / (MAX(KabKota[TIK]) - MIN(KabKota[TIK])) * 100</f>
        <v>54.86111111</v>
      </c>
      <c r="L427" s="9">
        <f>(H427 - MIN(KabKota[IDI])) / (MAX(KabKota[IDI]) - MIN(KabKota[IDI])) * 100</f>
        <v>88.90756303</v>
      </c>
      <c r="M427" s="9">
        <f t="shared" si="1"/>
        <v>51.27321528</v>
      </c>
      <c r="N427" s="11">
        <f>_xlfn.RANK.EQ(M427,KabKota[Rata-rata Skor])</f>
        <v>426</v>
      </c>
      <c r="O427" s="6">
        <f>COUNTIFS(KabKota[Regional], B427, KabKota[Rata-rata Skor], "&gt;"&amp;M427) + 1</f>
        <v>70</v>
      </c>
    </row>
    <row r="428" ht="22.5" customHeight="1">
      <c r="A428" s="5">
        <v>133.0</v>
      </c>
      <c r="B428" s="5" t="s">
        <v>70</v>
      </c>
      <c r="C428" s="5" t="s">
        <v>43</v>
      </c>
      <c r="D428" s="5" t="s">
        <v>492</v>
      </c>
      <c r="E428" s="7">
        <v>71.98</v>
      </c>
      <c r="F428" s="8">
        <v>0.038</v>
      </c>
      <c r="G428" s="7">
        <f>VLOOKUP(C428,Provinsi[[#ALL],[Daerah]:[IDI]],4,0)</f>
        <v>5.91</v>
      </c>
      <c r="H428" s="9">
        <f>VLOOKUP(C428,Provinsi[[#ALL],[Daerah]:[IDI]],5,0)</f>
        <v>72.62</v>
      </c>
      <c r="I428" s="9">
        <f>(E428 - MIN(KabKota[IPM])) / (MAX(KabKota[IPM]) - MIN(KabKota[IPM])) * 100</f>
        <v>64.28861789</v>
      </c>
      <c r="J428" s="9">
        <f>(F428 - MIN(KabKota[IKF])) / (MAX(KabKota[IKF]) - MIN(KabKota[IKF])) * 100</f>
        <v>4.75</v>
      </c>
      <c r="K428" s="9">
        <f>(G428 - MIN(KabKota[TIK])) / (MAX(KabKota[TIK]) - MIN(KabKota[TIK])) * 100</f>
        <v>54.39814815</v>
      </c>
      <c r="L428" s="9">
        <f>(H428 - MIN(KabKota[IDI])) / (MAX(KabKota[IDI]) - MIN(KabKota[IDI])) * 100</f>
        <v>81.36694678</v>
      </c>
      <c r="M428" s="9">
        <f t="shared" si="1"/>
        <v>51.2009282</v>
      </c>
      <c r="N428" s="11">
        <f>_xlfn.RANK.EQ(M428,KabKota[Rata-rata Skor])</f>
        <v>427</v>
      </c>
      <c r="O428" s="6">
        <f>COUNTIFS(KabKota[Regional], B428, KabKota[Rata-rata Skor], "&gt;"&amp;M428) + 1</f>
        <v>148</v>
      </c>
    </row>
    <row r="429" ht="22.5" customHeight="1">
      <c r="A429" s="5">
        <v>428.0</v>
      </c>
      <c r="B429" s="5" t="s">
        <v>75</v>
      </c>
      <c r="C429" s="5" t="s">
        <v>46</v>
      </c>
      <c r="D429" s="5" t="s">
        <v>493</v>
      </c>
      <c r="E429" s="7">
        <v>69.54</v>
      </c>
      <c r="F429" s="8">
        <v>0.002</v>
      </c>
      <c r="G429" s="7">
        <f>VLOOKUP(C429,Provinsi[[#ALL],[Daerah]:[IDI]],4,0)</f>
        <v>6.03</v>
      </c>
      <c r="H429" s="9">
        <f>VLOOKUP(C429,Provinsi[[#ALL],[Daerah]:[IDI]],5,0)</f>
        <v>78.04</v>
      </c>
      <c r="I429" s="9">
        <f>(E429 - MIN(KabKota[IPM])) / (MAX(KabKota[IPM]) - MIN(KabKota[IPM])) * 100</f>
        <v>59.32926829</v>
      </c>
      <c r="J429" s="9">
        <f>(F429 - MIN(KabKota[IKF])) / (MAX(KabKota[IKF]) - MIN(KabKota[IKF])) * 100</f>
        <v>0.25</v>
      </c>
      <c r="K429" s="9">
        <f>(G429 - MIN(KabKota[TIK])) / (MAX(KabKota[TIK]) - MIN(KabKota[TIK])) * 100</f>
        <v>57.17592593</v>
      </c>
      <c r="L429" s="9">
        <f>(H429 - MIN(KabKota[IDI])) / (MAX(KabKota[IDI]) - MIN(KabKota[IDI])) * 100</f>
        <v>87.43977591</v>
      </c>
      <c r="M429" s="9">
        <f t="shared" si="1"/>
        <v>51.04874253</v>
      </c>
      <c r="N429" s="11">
        <f>_xlfn.RANK.EQ(M429,KabKota[Rata-rata Skor])</f>
        <v>428</v>
      </c>
      <c r="O429" s="6">
        <f>COUNTIFS(KabKota[Regional], B429, KabKota[Rata-rata Skor], "&gt;"&amp;M429) + 1</f>
        <v>71</v>
      </c>
    </row>
    <row r="430" ht="22.5" customHeight="1">
      <c r="A430" s="5">
        <v>394.0</v>
      </c>
      <c r="B430" s="5" t="s">
        <v>75</v>
      </c>
      <c r="C430" s="5" t="s">
        <v>47</v>
      </c>
      <c r="D430" s="5" t="s">
        <v>494</v>
      </c>
      <c r="E430" s="7">
        <v>69.76</v>
      </c>
      <c r="F430" s="8">
        <v>0.005</v>
      </c>
      <c r="G430" s="7">
        <f>VLOOKUP(C430,Provinsi[[#ALL],[Daerah]:[IDI]],4,0)</f>
        <v>5.93</v>
      </c>
      <c r="H430" s="9">
        <f>VLOOKUP(C430,Provinsi[[#ALL],[Daerah]:[IDI]],5,0)</f>
        <v>79.35</v>
      </c>
      <c r="I430" s="9">
        <f>(E430 - MIN(KabKota[IPM])) / (MAX(KabKota[IPM]) - MIN(KabKota[IPM])) * 100</f>
        <v>59.77642276</v>
      </c>
      <c r="J430" s="9">
        <f>(F430 - MIN(KabKota[IKF])) / (MAX(KabKota[IKF]) - MIN(KabKota[IKF])) * 100</f>
        <v>0.625</v>
      </c>
      <c r="K430" s="9">
        <f>(G430 - MIN(KabKota[TIK])) / (MAX(KabKota[TIK]) - MIN(KabKota[TIK])) * 100</f>
        <v>54.86111111</v>
      </c>
      <c r="L430" s="9">
        <f>(H430 - MIN(KabKota[IDI])) / (MAX(KabKota[IDI]) - MIN(KabKota[IDI])) * 100</f>
        <v>88.90756303</v>
      </c>
      <c r="M430" s="9">
        <f t="shared" si="1"/>
        <v>51.04252423</v>
      </c>
      <c r="N430" s="11">
        <f>_xlfn.RANK.EQ(M430,KabKota[Rata-rata Skor])</f>
        <v>429</v>
      </c>
      <c r="O430" s="6">
        <f>COUNTIFS(KabKota[Regional], B430, KabKota[Rata-rata Skor], "&gt;"&amp;M430) + 1</f>
        <v>72</v>
      </c>
    </row>
    <row r="431" ht="22.5" customHeight="1">
      <c r="A431" s="5">
        <v>440.0</v>
      </c>
      <c r="B431" s="5" t="s">
        <v>75</v>
      </c>
      <c r="C431" s="5" t="s">
        <v>48</v>
      </c>
      <c r="D431" s="5" t="s">
        <v>495</v>
      </c>
      <c r="E431" s="7">
        <v>72.62</v>
      </c>
      <c r="F431" s="8">
        <v>0.013</v>
      </c>
      <c r="G431" s="7">
        <f>VLOOKUP(C431,Provinsi[[#ALL],[Daerah]:[IDI]],4,0)</f>
        <v>5.85</v>
      </c>
      <c r="H431" s="9">
        <f>VLOOKUP(C431,Provinsi[[#ALL],[Daerah]:[IDI]],5,0)</f>
        <v>74.57</v>
      </c>
      <c r="I431" s="9">
        <f>(E431 - MIN(KabKota[IPM])) / (MAX(KabKota[IPM]) - MIN(KabKota[IPM])) * 100</f>
        <v>65.58943089</v>
      </c>
      <c r="J431" s="9">
        <f>(F431 - MIN(KabKota[IKF])) / (MAX(KabKota[IKF]) - MIN(KabKota[IKF])) * 100</f>
        <v>1.625</v>
      </c>
      <c r="K431" s="9">
        <f>(G431 - MIN(KabKota[TIK])) / (MAX(KabKota[TIK]) - MIN(KabKota[TIK])) * 100</f>
        <v>53.00925926</v>
      </c>
      <c r="L431" s="9">
        <f>(H431 - MIN(KabKota[IDI])) / (MAX(KabKota[IDI]) - MIN(KabKota[IDI])) * 100</f>
        <v>83.55182073</v>
      </c>
      <c r="M431" s="9">
        <f t="shared" si="1"/>
        <v>50.94387772</v>
      </c>
      <c r="N431" s="11">
        <f>_xlfn.RANK.EQ(M431,KabKota[Rata-rata Skor])</f>
        <v>430</v>
      </c>
      <c r="O431" s="6">
        <f>COUNTIFS(KabKota[Regional], B431, KabKota[Rata-rata Skor], "&gt;"&amp;M431) + 1</f>
        <v>73</v>
      </c>
    </row>
    <row r="432" ht="22.5" customHeight="1">
      <c r="A432" s="5">
        <v>128.0</v>
      </c>
      <c r="B432" s="5" t="s">
        <v>70</v>
      </c>
      <c r="C432" s="5" t="s">
        <v>43</v>
      </c>
      <c r="D432" s="5" t="s">
        <v>496</v>
      </c>
      <c r="E432" s="7">
        <v>72.28</v>
      </c>
      <c r="F432" s="8">
        <v>0.022</v>
      </c>
      <c r="G432" s="7">
        <f>VLOOKUP(C432,Provinsi[[#ALL],[Daerah]:[IDI]],4,0)</f>
        <v>5.91</v>
      </c>
      <c r="H432" s="9">
        <f>VLOOKUP(C432,Provinsi[[#ALL],[Daerah]:[IDI]],5,0)</f>
        <v>72.62</v>
      </c>
      <c r="I432" s="9">
        <f>(E432 - MIN(KabKota[IPM])) / (MAX(KabKota[IPM]) - MIN(KabKota[IPM])) * 100</f>
        <v>64.89837398</v>
      </c>
      <c r="J432" s="9">
        <f>(F432 - MIN(KabKota[IKF])) / (MAX(KabKota[IKF]) - MIN(KabKota[IKF])) * 100</f>
        <v>2.75</v>
      </c>
      <c r="K432" s="9">
        <f>(G432 - MIN(KabKota[TIK])) / (MAX(KabKota[TIK]) - MIN(KabKota[TIK])) * 100</f>
        <v>54.39814815</v>
      </c>
      <c r="L432" s="9">
        <f>(H432 - MIN(KabKota[IDI])) / (MAX(KabKota[IDI]) - MIN(KabKota[IDI])) * 100</f>
        <v>81.36694678</v>
      </c>
      <c r="M432" s="9">
        <f t="shared" si="1"/>
        <v>50.85336723</v>
      </c>
      <c r="N432" s="11">
        <f>_xlfn.RANK.EQ(M432,KabKota[Rata-rata Skor])</f>
        <v>431</v>
      </c>
      <c r="O432" s="6">
        <f>COUNTIFS(KabKota[Regional], B432, KabKota[Rata-rata Skor], "&gt;"&amp;M432) + 1</f>
        <v>149</v>
      </c>
    </row>
    <row r="433" ht="22.5" customHeight="1">
      <c r="A433" s="5">
        <v>130.0</v>
      </c>
      <c r="B433" s="5" t="s">
        <v>70</v>
      </c>
      <c r="C433" s="5" t="s">
        <v>43</v>
      </c>
      <c r="D433" s="5" t="s">
        <v>497</v>
      </c>
      <c r="E433" s="7">
        <v>73.11</v>
      </c>
      <c r="F433" s="8">
        <v>0.005</v>
      </c>
      <c r="G433" s="7">
        <f>VLOOKUP(C433,Provinsi[[#ALL],[Daerah]:[IDI]],4,0)</f>
        <v>5.91</v>
      </c>
      <c r="H433" s="9">
        <f>VLOOKUP(C433,Provinsi[[#ALL],[Daerah]:[IDI]],5,0)</f>
        <v>72.62</v>
      </c>
      <c r="I433" s="9">
        <f>(E433 - MIN(KabKota[IPM])) / (MAX(KabKota[IPM]) - MIN(KabKota[IPM])) * 100</f>
        <v>66.58536585</v>
      </c>
      <c r="J433" s="9">
        <f>(F433 - MIN(KabKota[IKF])) / (MAX(KabKota[IKF]) - MIN(KabKota[IKF])) * 100</f>
        <v>0.625</v>
      </c>
      <c r="K433" s="9">
        <f>(G433 - MIN(KabKota[TIK])) / (MAX(KabKota[TIK]) - MIN(KabKota[TIK])) * 100</f>
        <v>54.39814815</v>
      </c>
      <c r="L433" s="9">
        <f>(H433 - MIN(KabKota[IDI])) / (MAX(KabKota[IDI]) - MIN(KabKota[IDI])) * 100</f>
        <v>81.36694678</v>
      </c>
      <c r="M433" s="9">
        <f t="shared" si="1"/>
        <v>50.7438652</v>
      </c>
      <c r="N433" s="11">
        <f>_xlfn.RANK.EQ(M433,KabKota[Rata-rata Skor])</f>
        <v>432</v>
      </c>
      <c r="O433" s="6">
        <f>COUNTIFS(KabKota[Regional], B433, KabKota[Rata-rata Skor], "&gt;"&amp;M433) + 1</f>
        <v>150</v>
      </c>
    </row>
    <row r="434" ht="22.5" customHeight="1">
      <c r="A434" s="5">
        <v>446.0</v>
      </c>
      <c r="B434" s="5" t="s">
        <v>75</v>
      </c>
      <c r="C434" s="5" t="s">
        <v>50</v>
      </c>
      <c r="D434" s="5" t="s">
        <v>498</v>
      </c>
      <c r="E434" s="7">
        <v>71.62</v>
      </c>
      <c r="F434" s="8">
        <v>0.042</v>
      </c>
      <c r="G434" s="7">
        <f>VLOOKUP(C434,Provinsi[[#ALL],[Daerah]:[IDI]],4,0)</f>
        <v>5.73</v>
      </c>
      <c r="H434" s="9">
        <f>VLOOKUP(C434,Provinsi[[#ALL],[Daerah]:[IDI]],5,0)</f>
        <v>74.56</v>
      </c>
      <c r="I434" s="9">
        <f>(E434 - MIN(KabKota[IPM])) / (MAX(KabKota[IPM]) - MIN(KabKota[IPM])) * 100</f>
        <v>63.55691057</v>
      </c>
      <c r="J434" s="9">
        <f>(F434 - MIN(KabKota[IKF])) / (MAX(KabKota[IKF]) - MIN(KabKota[IKF])) * 100</f>
        <v>5.25</v>
      </c>
      <c r="K434" s="9">
        <f>(G434 - MIN(KabKota[TIK])) / (MAX(KabKota[TIK]) - MIN(KabKota[TIK])) * 100</f>
        <v>50.23148148</v>
      </c>
      <c r="L434" s="9">
        <f>(H434 - MIN(KabKota[IDI])) / (MAX(KabKota[IDI]) - MIN(KabKota[IDI])) * 100</f>
        <v>83.54061625</v>
      </c>
      <c r="M434" s="9">
        <f t="shared" si="1"/>
        <v>50.64475207</v>
      </c>
      <c r="N434" s="11">
        <f>_xlfn.RANK.EQ(M434,KabKota[Rata-rata Skor])</f>
        <v>433</v>
      </c>
      <c r="O434" s="6">
        <f>COUNTIFS(KabKota[Regional], B434, KabKota[Rata-rata Skor], "&gt;"&amp;M434) + 1</f>
        <v>74</v>
      </c>
    </row>
    <row r="435" ht="22.5" customHeight="1">
      <c r="A435" s="5">
        <v>456.0</v>
      </c>
      <c r="B435" s="5" t="s">
        <v>180</v>
      </c>
      <c r="C435" s="5" t="s">
        <v>49</v>
      </c>
      <c r="D435" s="5" t="s">
        <v>499</v>
      </c>
      <c r="E435" s="7">
        <v>71.1</v>
      </c>
      <c r="F435" s="8">
        <v>0.083</v>
      </c>
      <c r="G435" s="7">
        <f>VLOOKUP(C435,Provinsi[[#ALL],[Daerah]:[IDI]],4,0)</f>
        <v>5.84</v>
      </c>
      <c r="H435" s="9">
        <f>VLOOKUP(C435,Provinsi[[#ALL],[Daerah]:[IDI]],5,0)</f>
        <v>67.98</v>
      </c>
      <c r="I435" s="9">
        <f>(E435 - MIN(KabKota[IPM])) / (MAX(KabKota[IPM]) - MIN(KabKota[IPM])) * 100</f>
        <v>62.5</v>
      </c>
      <c r="J435" s="9">
        <f>(F435 - MIN(KabKota[IKF])) / (MAX(KabKota[IKF]) - MIN(KabKota[IKF])) * 100</f>
        <v>10.375</v>
      </c>
      <c r="K435" s="9">
        <f>(G435 - MIN(KabKota[TIK])) / (MAX(KabKota[TIK]) - MIN(KabKota[TIK])) * 100</f>
        <v>52.77777778</v>
      </c>
      <c r="L435" s="9">
        <f>(H435 - MIN(KabKota[IDI])) / (MAX(KabKota[IDI]) - MIN(KabKota[IDI])) * 100</f>
        <v>76.16806723</v>
      </c>
      <c r="M435" s="9">
        <f t="shared" si="1"/>
        <v>50.45521125</v>
      </c>
      <c r="N435" s="11">
        <f>_xlfn.RANK.EQ(M435,KabKota[Rata-rata Skor])</f>
        <v>434</v>
      </c>
      <c r="O435" s="6">
        <f>COUNTIFS(KabKota[Regional], B435, KabKota[Rata-rata Skor], "&gt;"&amp;M435) + 1</f>
        <v>13</v>
      </c>
    </row>
    <row r="436" ht="22.5" customHeight="1">
      <c r="A436" s="5">
        <v>482.0</v>
      </c>
      <c r="B436" s="5" t="s">
        <v>180</v>
      </c>
      <c r="C436" s="5" t="s">
        <v>26</v>
      </c>
      <c r="D436" s="5" t="s">
        <v>500</v>
      </c>
      <c r="E436" s="7">
        <v>75.96</v>
      </c>
      <c r="F436" s="8">
        <v>0.069</v>
      </c>
      <c r="G436" s="7">
        <f>VLOOKUP(C436,Provinsi[[#ALL],[Daerah]:[IDI]],4,0)</f>
        <v>5.61</v>
      </c>
      <c r="H436" s="9">
        <f>VLOOKUP(C436,Provinsi[[#ALL],[Daerah]:[IDI]],5,0)</f>
        <v>64.74</v>
      </c>
      <c r="I436" s="9">
        <f>(E436 - MIN(KabKota[IPM])) / (MAX(KabKota[IPM]) - MIN(KabKota[IPM])) * 100</f>
        <v>72.37804878</v>
      </c>
      <c r="J436" s="9">
        <f>(F436 - MIN(KabKota[IKF])) / (MAX(KabKota[IKF]) - MIN(KabKota[IKF])) * 100</f>
        <v>8.625</v>
      </c>
      <c r="K436" s="9">
        <f>(G436 - MIN(KabKota[TIK])) / (MAX(KabKota[TIK]) - MIN(KabKota[TIK])) * 100</f>
        <v>47.4537037</v>
      </c>
      <c r="L436" s="9">
        <f>(H436 - MIN(KabKota[IDI])) / (MAX(KabKota[IDI]) - MIN(KabKota[IDI])) * 100</f>
        <v>72.53781513</v>
      </c>
      <c r="M436" s="9">
        <f t="shared" si="1"/>
        <v>50.2486419</v>
      </c>
      <c r="N436" s="11">
        <f>_xlfn.RANK.EQ(M436,KabKota[Rata-rata Skor])</f>
        <v>435</v>
      </c>
      <c r="O436" s="6">
        <f>COUNTIFS(KabKota[Regional], B436, KabKota[Rata-rata Skor], "&gt;"&amp;M436) + 1</f>
        <v>14</v>
      </c>
    </row>
    <row r="437" ht="22.5" customHeight="1">
      <c r="A437" s="5">
        <v>392.0</v>
      </c>
      <c r="B437" s="5" t="s">
        <v>75</v>
      </c>
      <c r="C437" s="5" t="s">
        <v>47</v>
      </c>
      <c r="D437" s="5" t="s">
        <v>501</v>
      </c>
      <c r="E437" s="7">
        <v>68.44</v>
      </c>
      <c r="F437" s="8">
        <v>0.001</v>
      </c>
      <c r="G437" s="7">
        <f>VLOOKUP(C437,Provinsi[[#ALL],[Daerah]:[IDI]],4,0)</f>
        <v>5.93</v>
      </c>
      <c r="H437" s="9">
        <f>VLOOKUP(C437,Provinsi[[#ALL],[Daerah]:[IDI]],5,0)</f>
        <v>79.35</v>
      </c>
      <c r="I437" s="9">
        <f>(E437 - MIN(KabKota[IPM])) / (MAX(KabKota[IPM]) - MIN(KabKota[IPM])) * 100</f>
        <v>57.09349593</v>
      </c>
      <c r="J437" s="9">
        <f>(F437 - MIN(KabKota[IKF])) / (MAX(KabKota[IKF]) - MIN(KabKota[IKF])) * 100</f>
        <v>0.125</v>
      </c>
      <c r="K437" s="9">
        <f>(G437 - MIN(KabKota[TIK])) / (MAX(KabKota[TIK]) - MIN(KabKota[TIK])) * 100</f>
        <v>54.86111111</v>
      </c>
      <c r="L437" s="9">
        <f>(H437 - MIN(KabKota[IDI])) / (MAX(KabKota[IDI]) - MIN(KabKota[IDI])) * 100</f>
        <v>88.90756303</v>
      </c>
      <c r="M437" s="9">
        <f t="shared" si="1"/>
        <v>50.24679252</v>
      </c>
      <c r="N437" s="11">
        <f>_xlfn.RANK.EQ(M437,KabKota[Rata-rata Skor])</f>
        <v>436</v>
      </c>
      <c r="O437" s="6">
        <f>COUNTIFS(KabKota[Regional], B437, KabKota[Rata-rata Skor], "&gt;"&amp;M437) + 1</f>
        <v>75</v>
      </c>
    </row>
    <row r="438" ht="22.5" customHeight="1">
      <c r="A438" s="5">
        <v>472.0</v>
      </c>
      <c r="B438" s="5" t="s">
        <v>180</v>
      </c>
      <c r="C438" s="5" t="s">
        <v>51</v>
      </c>
      <c r="D438" s="5" t="s">
        <v>502</v>
      </c>
      <c r="E438" s="7">
        <v>74.63</v>
      </c>
      <c r="F438" s="8">
        <v>0.047</v>
      </c>
      <c r="G438" s="7">
        <f>VLOOKUP(C438,Provinsi[[#ALL],[Daerah]:[IDI]],4,0)</f>
        <v>5.68</v>
      </c>
      <c r="H438" s="9">
        <f>VLOOKUP(C438,Provinsi[[#ALL],[Daerah]:[IDI]],5,0)</f>
        <v>67.8</v>
      </c>
      <c r="I438" s="9">
        <f>(E438 - MIN(KabKota[IPM])) / (MAX(KabKota[IPM]) - MIN(KabKota[IPM])) * 100</f>
        <v>69.67479675</v>
      </c>
      <c r="J438" s="9">
        <f>(F438 - MIN(KabKota[IKF])) / (MAX(KabKota[IKF]) - MIN(KabKota[IKF])) * 100</f>
        <v>5.875</v>
      </c>
      <c r="K438" s="9">
        <f>(G438 - MIN(KabKota[TIK])) / (MAX(KabKota[TIK]) - MIN(KabKota[TIK])) * 100</f>
        <v>49.07407407</v>
      </c>
      <c r="L438" s="9">
        <f>(H438 - MIN(KabKota[IDI])) / (MAX(KabKota[IDI]) - MIN(KabKota[IDI])) * 100</f>
        <v>75.96638655</v>
      </c>
      <c r="M438" s="9">
        <f t="shared" si="1"/>
        <v>50.14756434</v>
      </c>
      <c r="N438" s="11">
        <f>_xlfn.RANK.EQ(M438,KabKota[Rata-rata Skor])</f>
        <v>437</v>
      </c>
      <c r="O438" s="6">
        <f>COUNTIFS(KabKota[Regional], B438, KabKota[Rata-rata Skor], "&gt;"&amp;M438) + 1</f>
        <v>15</v>
      </c>
    </row>
    <row r="439" ht="22.5" customHeight="1">
      <c r="A439" s="5">
        <v>138.0</v>
      </c>
      <c r="B439" s="5" t="s">
        <v>70</v>
      </c>
      <c r="C439" s="5" t="s">
        <v>43</v>
      </c>
      <c r="D439" s="5" t="s">
        <v>503</v>
      </c>
      <c r="E439" s="7">
        <v>71.72</v>
      </c>
      <c r="F439" s="8">
        <v>0.005</v>
      </c>
      <c r="G439" s="7">
        <f>VLOOKUP(C439,Provinsi[[#ALL],[Daerah]:[IDI]],4,0)</f>
        <v>5.91</v>
      </c>
      <c r="H439" s="9">
        <f>VLOOKUP(C439,Provinsi[[#ALL],[Daerah]:[IDI]],5,0)</f>
        <v>72.62</v>
      </c>
      <c r="I439" s="9">
        <f>(E439 - MIN(KabKota[IPM])) / (MAX(KabKota[IPM]) - MIN(KabKota[IPM])) * 100</f>
        <v>63.7601626</v>
      </c>
      <c r="J439" s="9">
        <f>(F439 - MIN(KabKota[IKF])) / (MAX(KabKota[IKF]) - MIN(KabKota[IKF])) * 100</f>
        <v>0.625</v>
      </c>
      <c r="K439" s="9">
        <f>(G439 - MIN(KabKota[TIK])) / (MAX(KabKota[TIK]) - MIN(KabKota[TIK])) * 100</f>
        <v>54.39814815</v>
      </c>
      <c r="L439" s="9">
        <f>(H439 - MIN(KabKota[IDI])) / (MAX(KabKota[IDI]) - MIN(KabKota[IDI])) * 100</f>
        <v>81.36694678</v>
      </c>
      <c r="M439" s="9">
        <f t="shared" si="1"/>
        <v>50.03756438</v>
      </c>
      <c r="N439" s="11">
        <f>_xlfn.RANK.EQ(M439,KabKota[Rata-rata Skor])</f>
        <v>438</v>
      </c>
      <c r="O439" s="6">
        <f>COUNTIFS(KabKota[Regional], B439, KabKota[Rata-rata Skor], "&gt;"&amp;M439) + 1</f>
        <v>151</v>
      </c>
    </row>
    <row r="440" ht="22.5" customHeight="1">
      <c r="A440" s="5">
        <v>131.0</v>
      </c>
      <c r="B440" s="5" t="s">
        <v>70</v>
      </c>
      <c r="C440" s="5" t="s">
        <v>43</v>
      </c>
      <c r="D440" s="5" t="s">
        <v>504</v>
      </c>
      <c r="E440" s="7">
        <v>71.36</v>
      </c>
      <c r="F440" s="8">
        <v>0.01</v>
      </c>
      <c r="G440" s="7">
        <f>VLOOKUP(C440,Provinsi[[#ALL],[Daerah]:[IDI]],4,0)</f>
        <v>5.91</v>
      </c>
      <c r="H440" s="9">
        <f>VLOOKUP(C440,Provinsi[[#ALL],[Daerah]:[IDI]],5,0)</f>
        <v>72.62</v>
      </c>
      <c r="I440" s="9">
        <f>(E440 - MIN(KabKota[IPM])) / (MAX(KabKota[IPM]) - MIN(KabKota[IPM])) * 100</f>
        <v>63.02845528</v>
      </c>
      <c r="J440" s="9">
        <f>(F440 - MIN(KabKota[IKF])) / (MAX(KabKota[IKF]) - MIN(KabKota[IKF])) * 100</f>
        <v>1.25</v>
      </c>
      <c r="K440" s="9">
        <f>(G440 - MIN(KabKota[TIK])) / (MAX(KabKota[TIK]) - MIN(KabKota[TIK])) * 100</f>
        <v>54.39814815</v>
      </c>
      <c r="L440" s="9">
        <f>(H440 - MIN(KabKota[IDI])) / (MAX(KabKota[IDI]) - MIN(KabKota[IDI])) * 100</f>
        <v>81.36694678</v>
      </c>
      <c r="M440" s="9">
        <f t="shared" si="1"/>
        <v>50.01088755</v>
      </c>
      <c r="N440" s="11">
        <f>_xlfn.RANK.EQ(M440,KabKota[Rata-rata Skor])</f>
        <v>439</v>
      </c>
      <c r="O440" s="6">
        <f>COUNTIFS(KabKota[Regional], B440, KabKota[Rata-rata Skor], "&gt;"&amp;M440) + 1</f>
        <v>152</v>
      </c>
    </row>
    <row r="441" ht="22.5" customHeight="1">
      <c r="A441" s="5">
        <v>134.0</v>
      </c>
      <c r="B441" s="5" t="s">
        <v>70</v>
      </c>
      <c r="C441" s="5" t="s">
        <v>43</v>
      </c>
      <c r="D441" s="5" t="s">
        <v>505</v>
      </c>
      <c r="E441" s="7">
        <v>70.9</v>
      </c>
      <c r="F441" s="8">
        <v>0.014</v>
      </c>
      <c r="G441" s="7">
        <f>VLOOKUP(C441,Provinsi[[#ALL],[Daerah]:[IDI]],4,0)</f>
        <v>5.91</v>
      </c>
      <c r="H441" s="9">
        <f>VLOOKUP(C441,Provinsi[[#ALL],[Daerah]:[IDI]],5,0)</f>
        <v>72.62</v>
      </c>
      <c r="I441" s="9">
        <f>(E441 - MIN(KabKota[IPM])) / (MAX(KabKota[IPM]) - MIN(KabKota[IPM])) * 100</f>
        <v>62.09349593</v>
      </c>
      <c r="J441" s="9">
        <f>(F441 - MIN(KabKota[IKF])) / (MAX(KabKota[IKF]) - MIN(KabKota[IKF])) * 100</f>
        <v>1.75</v>
      </c>
      <c r="K441" s="9">
        <f>(G441 - MIN(KabKota[TIK])) / (MAX(KabKota[TIK]) - MIN(KabKota[TIK])) * 100</f>
        <v>54.39814815</v>
      </c>
      <c r="L441" s="9">
        <f>(H441 - MIN(KabKota[IDI])) / (MAX(KabKota[IDI]) - MIN(KabKota[IDI])) * 100</f>
        <v>81.36694678</v>
      </c>
      <c r="M441" s="9">
        <f t="shared" si="1"/>
        <v>49.90214772</v>
      </c>
      <c r="N441" s="11">
        <f>_xlfn.RANK.EQ(M441,KabKota[Rata-rata Skor])</f>
        <v>440</v>
      </c>
      <c r="O441" s="6">
        <f>COUNTIFS(KabKota[Regional], B441, KabKota[Rata-rata Skor], "&gt;"&amp;M441) + 1</f>
        <v>153</v>
      </c>
    </row>
    <row r="442" ht="22.5" customHeight="1">
      <c r="A442" s="5">
        <v>298.0</v>
      </c>
      <c r="B442" s="5" t="s">
        <v>60</v>
      </c>
      <c r="C442" s="5" t="s">
        <v>52</v>
      </c>
      <c r="D442" s="5" t="s">
        <v>506</v>
      </c>
      <c r="E442" s="7">
        <v>70.61</v>
      </c>
      <c r="F442" s="8">
        <v>0.059</v>
      </c>
      <c r="G442" s="7">
        <f>VLOOKUP(C442,Provinsi[[#ALL],[Daerah]:[IDI]],4,0)</f>
        <v>5.36</v>
      </c>
      <c r="H442" s="9">
        <f>VLOOKUP(C442,Provinsi[[#ALL],[Daerah]:[IDI]],5,0)</f>
        <v>79.47</v>
      </c>
      <c r="I442" s="9">
        <f>(E442 - MIN(KabKota[IPM])) / (MAX(KabKota[IPM]) - MIN(KabKota[IPM])) * 100</f>
        <v>61.50406504</v>
      </c>
      <c r="J442" s="9">
        <f>(F442 - MIN(KabKota[IKF])) / (MAX(KabKota[IKF]) - MIN(KabKota[IKF])) * 100</f>
        <v>7.375</v>
      </c>
      <c r="K442" s="9">
        <f>(G442 - MIN(KabKota[TIK])) / (MAX(KabKota[TIK]) - MIN(KabKota[TIK])) * 100</f>
        <v>41.66666667</v>
      </c>
      <c r="L442" s="9">
        <f>(H442 - MIN(KabKota[IDI])) / (MAX(KabKota[IDI]) - MIN(KabKota[IDI])) * 100</f>
        <v>89.04201681</v>
      </c>
      <c r="M442" s="9">
        <f t="shared" si="1"/>
        <v>49.89693713</v>
      </c>
      <c r="N442" s="11">
        <f>_xlfn.RANK.EQ(M442,KabKota[Rata-rata Skor])</f>
        <v>441</v>
      </c>
      <c r="O442" s="6">
        <f>COUNTIFS(KabKota[Regional], B442, KabKota[Rata-rata Skor], "&gt;"&amp;M442) + 1</f>
        <v>23</v>
      </c>
    </row>
    <row r="443" ht="22.5" customHeight="1">
      <c r="A443" s="5">
        <v>463.0</v>
      </c>
      <c r="B443" s="5" t="s">
        <v>180</v>
      </c>
      <c r="C443" s="5" t="s">
        <v>51</v>
      </c>
      <c r="D443" s="5" t="s">
        <v>507</v>
      </c>
      <c r="E443" s="7">
        <v>69.75</v>
      </c>
      <c r="F443" s="8">
        <v>0.118</v>
      </c>
      <c r="G443" s="7">
        <f>VLOOKUP(C443,Provinsi[[#ALL],[Daerah]:[IDI]],4,0)</f>
        <v>5.68</v>
      </c>
      <c r="H443" s="9">
        <f>VLOOKUP(C443,Provinsi[[#ALL],[Daerah]:[IDI]],5,0)</f>
        <v>67.8</v>
      </c>
      <c r="I443" s="9">
        <f>(E443 - MIN(KabKota[IPM])) / (MAX(KabKota[IPM]) - MIN(KabKota[IPM])) * 100</f>
        <v>59.75609756</v>
      </c>
      <c r="J443" s="9">
        <f>(F443 - MIN(KabKota[IKF])) / (MAX(KabKota[IKF]) - MIN(KabKota[IKF])) * 100</f>
        <v>14.75</v>
      </c>
      <c r="K443" s="9">
        <f>(G443 - MIN(KabKota[TIK])) / (MAX(KabKota[TIK]) - MIN(KabKota[TIK])) * 100</f>
        <v>49.07407407</v>
      </c>
      <c r="L443" s="9">
        <f>(H443 - MIN(KabKota[IDI])) / (MAX(KabKota[IDI]) - MIN(KabKota[IDI])) * 100</f>
        <v>75.96638655</v>
      </c>
      <c r="M443" s="9">
        <f t="shared" si="1"/>
        <v>49.88663955</v>
      </c>
      <c r="N443" s="11">
        <f>_xlfn.RANK.EQ(M443,KabKota[Rata-rata Skor])</f>
        <v>442</v>
      </c>
      <c r="O443" s="6">
        <f>COUNTIFS(KabKota[Regional], B443, KabKota[Rata-rata Skor], "&gt;"&amp;M443) + 1</f>
        <v>16</v>
      </c>
    </row>
    <row r="444" ht="22.5" customHeight="1">
      <c r="A444" s="5">
        <v>458.0</v>
      </c>
      <c r="B444" s="5" t="s">
        <v>180</v>
      </c>
      <c r="C444" s="5" t="s">
        <v>49</v>
      </c>
      <c r="D444" s="5" t="s">
        <v>508</v>
      </c>
      <c r="E444" s="7">
        <v>69.73</v>
      </c>
      <c r="F444" s="8">
        <v>0.083</v>
      </c>
      <c r="G444" s="7">
        <f>VLOOKUP(C444,Provinsi[[#ALL],[Daerah]:[IDI]],4,0)</f>
        <v>5.84</v>
      </c>
      <c r="H444" s="9">
        <f>VLOOKUP(C444,Provinsi[[#ALL],[Daerah]:[IDI]],5,0)</f>
        <v>67.98</v>
      </c>
      <c r="I444" s="9">
        <f>(E444 - MIN(KabKota[IPM])) / (MAX(KabKota[IPM]) - MIN(KabKota[IPM])) * 100</f>
        <v>59.71544715</v>
      </c>
      <c r="J444" s="9">
        <f>(F444 - MIN(KabKota[IKF])) / (MAX(KabKota[IKF]) - MIN(KabKota[IKF])) * 100</f>
        <v>10.375</v>
      </c>
      <c r="K444" s="9">
        <f>(G444 - MIN(KabKota[TIK])) / (MAX(KabKota[TIK]) - MIN(KabKota[TIK])) * 100</f>
        <v>52.77777778</v>
      </c>
      <c r="L444" s="9">
        <f>(H444 - MIN(KabKota[IDI])) / (MAX(KabKota[IDI]) - MIN(KabKota[IDI])) * 100</f>
        <v>76.16806723</v>
      </c>
      <c r="M444" s="9">
        <f t="shared" si="1"/>
        <v>49.75907304</v>
      </c>
      <c r="N444" s="11">
        <f>_xlfn.RANK.EQ(M444,KabKota[Rata-rata Skor])</f>
        <v>443</v>
      </c>
      <c r="O444" s="6">
        <f>COUNTIFS(KabKota[Regional], B444, KabKota[Rata-rata Skor], "&gt;"&amp;M444) + 1</f>
        <v>17</v>
      </c>
    </row>
    <row r="445" ht="22.5" customHeight="1">
      <c r="A445" s="5">
        <v>300.0</v>
      </c>
      <c r="B445" s="5" t="s">
        <v>60</v>
      </c>
      <c r="C445" s="5" t="s">
        <v>52</v>
      </c>
      <c r="D445" s="5" t="s">
        <v>509</v>
      </c>
      <c r="E445" s="7">
        <v>72.73</v>
      </c>
      <c r="F445" s="8">
        <v>0.02</v>
      </c>
      <c r="G445" s="7">
        <f>VLOOKUP(C445,Provinsi[[#ALL],[Daerah]:[IDI]],4,0)</f>
        <v>5.36</v>
      </c>
      <c r="H445" s="9">
        <f>VLOOKUP(C445,Provinsi[[#ALL],[Daerah]:[IDI]],5,0)</f>
        <v>79.47</v>
      </c>
      <c r="I445" s="9">
        <f>(E445 - MIN(KabKota[IPM])) / (MAX(KabKota[IPM]) - MIN(KabKota[IPM])) * 100</f>
        <v>65.81300813</v>
      </c>
      <c r="J445" s="9">
        <f>(F445 - MIN(KabKota[IKF])) / (MAX(KabKota[IKF]) - MIN(KabKota[IKF])) * 100</f>
        <v>2.5</v>
      </c>
      <c r="K445" s="9">
        <f>(G445 - MIN(KabKota[TIK])) / (MAX(KabKota[TIK]) - MIN(KabKota[TIK])) * 100</f>
        <v>41.66666667</v>
      </c>
      <c r="L445" s="9">
        <f>(H445 - MIN(KabKota[IDI])) / (MAX(KabKota[IDI]) - MIN(KabKota[IDI])) * 100</f>
        <v>89.04201681</v>
      </c>
      <c r="M445" s="9">
        <f t="shared" si="1"/>
        <v>49.7554229</v>
      </c>
      <c r="N445" s="11">
        <f>_xlfn.RANK.EQ(M445,KabKota[Rata-rata Skor])</f>
        <v>444</v>
      </c>
      <c r="O445" s="6">
        <f>COUNTIFS(KabKota[Regional], B445, KabKota[Rata-rata Skor], "&gt;"&amp;M445) + 1</f>
        <v>24</v>
      </c>
    </row>
    <row r="446" ht="22.5" customHeight="1">
      <c r="A446" s="5">
        <v>451.0</v>
      </c>
      <c r="B446" s="5" t="s">
        <v>75</v>
      </c>
      <c r="C446" s="5" t="s">
        <v>50</v>
      </c>
      <c r="D446" s="5" t="s">
        <v>510</v>
      </c>
      <c r="E446" s="7">
        <v>69.17</v>
      </c>
      <c r="F446" s="8">
        <v>0.05</v>
      </c>
      <c r="G446" s="7">
        <f>VLOOKUP(C446,Provinsi[[#ALL],[Daerah]:[IDI]],4,0)</f>
        <v>5.73</v>
      </c>
      <c r="H446" s="9">
        <f>VLOOKUP(C446,Provinsi[[#ALL],[Daerah]:[IDI]],5,0)</f>
        <v>74.56</v>
      </c>
      <c r="I446" s="9">
        <f>(E446 - MIN(KabKota[IPM])) / (MAX(KabKota[IPM]) - MIN(KabKota[IPM])) * 100</f>
        <v>58.57723577</v>
      </c>
      <c r="J446" s="9">
        <f>(F446 - MIN(KabKota[IKF])) / (MAX(KabKota[IKF]) - MIN(KabKota[IKF])) * 100</f>
        <v>6.25</v>
      </c>
      <c r="K446" s="9">
        <f>(G446 - MIN(KabKota[TIK])) / (MAX(KabKota[TIK]) - MIN(KabKota[TIK])) * 100</f>
        <v>50.23148148</v>
      </c>
      <c r="L446" s="9">
        <f>(H446 - MIN(KabKota[IDI])) / (MAX(KabKota[IDI]) - MIN(KabKota[IDI])) * 100</f>
        <v>83.54061625</v>
      </c>
      <c r="M446" s="9">
        <f t="shared" si="1"/>
        <v>49.64983338</v>
      </c>
      <c r="N446" s="11">
        <f>_xlfn.RANK.EQ(M446,KabKota[Rata-rata Skor])</f>
        <v>445</v>
      </c>
      <c r="O446" s="6">
        <f>COUNTIFS(KabKota[Regional], B446, KabKota[Rata-rata Skor], "&gt;"&amp;M446) + 1</f>
        <v>76</v>
      </c>
    </row>
    <row r="447" ht="22.5" customHeight="1">
      <c r="A447" s="5">
        <v>307.0</v>
      </c>
      <c r="B447" s="5" t="s">
        <v>60</v>
      </c>
      <c r="C447" s="5" t="s">
        <v>52</v>
      </c>
      <c r="D447" s="5" t="s">
        <v>511</v>
      </c>
      <c r="E447" s="7">
        <v>69.2</v>
      </c>
      <c r="F447" s="8">
        <v>0.074</v>
      </c>
      <c r="G447" s="7">
        <f>VLOOKUP(C447,Provinsi[[#ALL],[Daerah]:[IDI]],4,0)</f>
        <v>5.36</v>
      </c>
      <c r="H447" s="9">
        <f>VLOOKUP(C447,Provinsi[[#ALL],[Daerah]:[IDI]],5,0)</f>
        <v>79.47</v>
      </c>
      <c r="I447" s="9">
        <f>(E447 - MIN(KabKota[IPM])) / (MAX(KabKota[IPM]) - MIN(KabKota[IPM])) * 100</f>
        <v>58.63821138</v>
      </c>
      <c r="J447" s="9">
        <f>(F447 - MIN(KabKota[IKF])) / (MAX(KabKota[IKF]) - MIN(KabKota[IKF])) * 100</f>
        <v>9.25</v>
      </c>
      <c r="K447" s="9">
        <f>(G447 - MIN(KabKota[TIK])) / (MAX(KabKota[TIK]) - MIN(KabKota[TIK])) * 100</f>
        <v>41.66666667</v>
      </c>
      <c r="L447" s="9">
        <f>(H447 - MIN(KabKota[IDI])) / (MAX(KabKota[IDI]) - MIN(KabKota[IDI])) * 100</f>
        <v>89.04201681</v>
      </c>
      <c r="M447" s="9">
        <f t="shared" si="1"/>
        <v>49.64922371</v>
      </c>
      <c r="N447" s="11">
        <f>_xlfn.RANK.EQ(M447,KabKota[Rata-rata Skor])</f>
        <v>446</v>
      </c>
      <c r="O447" s="6">
        <f>COUNTIFS(KabKota[Regional], B447, KabKota[Rata-rata Skor], "&gt;"&amp;M447) + 1</f>
        <v>25</v>
      </c>
    </row>
    <row r="448" ht="22.5" customHeight="1">
      <c r="A448" s="5">
        <v>443.0</v>
      </c>
      <c r="B448" s="5" t="s">
        <v>75</v>
      </c>
      <c r="C448" s="5" t="s">
        <v>48</v>
      </c>
      <c r="D448" s="5" t="s">
        <v>512</v>
      </c>
      <c r="E448" s="7">
        <v>70.59</v>
      </c>
      <c r="F448" s="8">
        <v>0.003</v>
      </c>
      <c r="G448" s="7">
        <f>VLOOKUP(C448,Provinsi[[#ALL],[Daerah]:[IDI]],4,0)</f>
        <v>5.85</v>
      </c>
      <c r="H448" s="9">
        <f>VLOOKUP(C448,Provinsi[[#ALL],[Daerah]:[IDI]],5,0)</f>
        <v>74.57</v>
      </c>
      <c r="I448" s="9">
        <f>(E448 - MIN(KabKota[IPM])) / (MAX(KabKota[IPM]) - MIN(KabKota[IPM])) * 100</f>
        <v>61.46341463</v>
      </c>
      <c r="J448" s="9">
        <f>(F448 - MIN(KabKota[IKF])) / (MAX(KabKota[IKF]) - MIN(KabKota[IKF])) * 100</f>
        <v>0.375</v>
      </c>
      <c r="K448" s="9">
        <f>(G448 - MIN(KabKota[TIK])) / (MAX(KabKota[TIK]) - MIN(KabKota[TIK])) * 100</f>
        <v>53.00925926</v>
      </c>
      <c r="L448" s="9">
        <f>(H448 - MIN(KabKota[IDI])) / (MAX(KabKota[IDI]) - MIN(KabKota[IDI])) * 100</f>
        <v>83.55182073</v>
      </c>
      <c r="M448" s="9">
        <f t="shared" si="1"/>
        <v>49.59987366</v>
      </c>
      <c r="N448" s="11">
        <f>_xlfn.RANK.EQ(M448,KabKota[Rata-rata Skor])</f>
        <v>447</v>
      </c>
      <c r="O448" s="6">
        <f>COUNTIFS(KabKota[Regional], B448, KabKota[Rata-rata Skor], "&gt;"&amp;M448) + 1</f>
        <v>77</v>
      </c>
    </row>
    <row r="449" ht="22.5" customHeight="1">
      <c r="A449" s="5">
        <v>308.0</v>
      </c>
      <c r="B449" s="5" t="s">
        <v>60</v>
      </c>
      <c r="C449" s="5" t="s">
        <v>52</v>
      </c>
      <c r="D449" s="5" t="s">
        <v>513</v>
      </c>
      <c r="E449" s="7">
        <v>70.48</v>
      </c>
      <c r="F449" s="8">
        <v>0.05</v>
      </c>
      <c r="G449" s="7">
        <f>VLOOKUP(C449,Provinsi[[#ALL],[Daerah]:[IDI]],4,0)</f>
        <v>5.36</v>
      </c>
      <c r="H449" s="9">
        <f>VLOOKUP(C449,Provinsi[[#ALL],[Daerah]:[IDI]],5,0)</f>
        <v>79.47</v>
      </c>
      <c r="I449" s="9">
        <f>(E449 - MIN(KabKota[IPM])) / (MAX(KabKota[IPM]) - MIN(KabKota[IPM])) * 100</f>
        <v>61.2398374</v>
      </c>
      <c r="J449" s="9">
        <f>(F449 - MIN(KabKota[IKF])) / (MAX(KabKota[IKF]) - MIN(KabKota[IKF])) * 100</f>
        <v>6.25</v>
      </c>
      <c r="K449" s="9">
        <f>(G449 - MIN(KabKota[TIK])) / (MAX(KabKota[TIK]) - MIN(KabKota[TIK])) * 100</f>
        <v>41.66666667</v>
      </c>
      <c r="L449" s="9">
        <f>(H449 - MIN(KabKota[IDI])) / (MAX(KabKota[IDI]) - MIN(KabKota[IDI])) * 100</f>
        <v>89.04201681</v>
      </c>
      <c r="M449" s="9">
        <f t="shared" si="1"/>
        <v>49.54963022</v>
      </c>
      <c r="N449" s="11">
        <f>_xlfn.RANK.EQ(M449,KabKota[Rata-rata Skor])</f>
        <v>448</v>
      </c>
      <c r="O449" s="6">
        <f>COUNTIFS(KabKota[Regional], B449, KabKota[Rata-rata Skor], "&gt;"&amp;M449) + 1</f>
        <v>26</v>
      </c>
    </row>
    <row r="450" ht="22.5" customHeight="1">
      <c r="A450" s="5">
        <v>455.0</v>
      </c>
      <c r="B450" s="5" t="s">
        <v>180</v>
      </c>
      <c r="C450" s="5" t="s">
        <v>49</v>
      </c>
      <c r="D450" s="5" t="s">
        <v>514</v>
      </c>
      <c r="E450" s="7">
        <v>73.24</v>
      </c>
      <c r="F450" s="8">
        <v>0.016</v>
      </c>
      <c r="G450" s="7">
        <f>VLOOKUP(C450,Provinsi[[#ALL],[Daerah]:[IDI]],4,0)</f>
        <v>5.84</v>
      </c>
      <c r="H450" s="9">
        <f>VLOOKUP(C450,Provinsi[[#ALL],[Daerah]:[IDI]],5,0)</f>
        <v>67.98</v>
      </c>
      <c r="I450" s="9">
        <f>(E450 - MIN(KabKota[IPM])) / (MAX(KabKota[IPM]) - MIN(KabKota[IPM])) * 100</f>
        <v>66.8495935</v>
      </c>
      <c r="J450" s="9">
        <f>(F450 - MIN(KabKota[IKF])) / (MAX(KabKota[IKF]) - MIN(KabKota[IKF])) * 100</f>
        <v>2</v>
      </c>
      <c r="K450" s="9">
        <f>(G450 - MIN(KabKota[TIK])) / (MAX(KabKota[TIK]) - MIN(KabKota[TIK])) * 100</f>
        <v>52.77777778</v>
      </c>
      <c r="L450" s="9">
        <f>(H450 - MIN(KabKota[IDI])) / (MAX(KabKota[IDI]) - MIN(KabKota[IDI])) * 100</f>
        <v>76.16806723</v>
      </c>
      <c r="M450" s="9">
        <f t="shared" si="1"/>
        <v>49.44885963</v>
      </c>
      <c r="N450" s="11">
        <f>_xlfn.RANK.EQ(M450,KabKota[Rata-rata Skor])</f>
        <v>449</v>
      </c>
      <c r="O450" s="6">
        <f>COUNTIFS(KabKota[Regional], B450, KabKota[Rata-rata Skor], "&gt;"&amp;M450) + 1</f>
        <v>18</v>
      </c>
    </row>
    <row r="451" ht="22.5" customHeight="1">
      <c r="A451" s="5">
        <v>441.0</v>
      </c>
      <c r="B451" s="5" t="s">
        <v>75</v>
      </c>
      <c r="C451" s="5" t="s">
        <v>48</v>
      </c>
      <c r="D451" s="5" t="s">
        <v>515</v>
      </c>
      <c r="E451" s="7">
        <v>69.89</v>
      </c>
      <c r="F451" s="8">
        <v>0.004</v>
      </c>
      <c r="G451" s="7">
        <f>VLOOKUP(C451,Provinsi[[#ALL],[Daerah]:[IDI]],4,0)</f>
        <v>5.85</v>
      </c>
      <c r="H451" s="9">
        <f>VLOOKUP(C451,Provinsi[[#ALL],[Daerah]:[IDI]],5,0)</f>
        <v>74.57</v>
      </c>
      <c r="I451" s="9">
        <f>(E451 - MIN(KabKota[IPM])) / (MAX(KabKota[IPM]) - MIN(KabKota[IPM])) * 100</f>
        <v>60.04065041</v>
      </c>
      <c r="J451" s="9">
        <f>(F451 - MIN(KabKota[IKF])) / (MAX(KabKota[IKF]) - MIN(KabKota[IKF])) * 100</f>
        <v>0.5</v>
      </c>
      <c r="K451" s="9">
        <f>(G451 - MIN(KabKota[TIK])) / (MAX(KabKota[TIK]) - MIN(KabKota[TIK])) * 100</f>
        <v>53.00925926</v>
      </c>
      <c r="L451" s="9">
        <f>(H451 - MIN(KabKota[IDI])) / (MAX(KabKota[IDI]) - MIN(KabKota[IDI])) * 100</f>
        <v>83.55182073</v>
      </c>
      <c r="M451" s="9">
        <f t="shared" si="1"/>
        <v>49.2754326</v>
      </c>
      <c r="N451" s="11">
        <f>_xlfn.RANK.EQ(M451,KabKota[Rata-rata Skor])</f>
        <v>450</v>
      </c>
      <c r="O451" s="6">
        <f>COUNTIFS(KabKota[Regional], B451, KabKota[Rata-rata Skor], "&gt;"&amp;M451) + 1</f>
        <v>78</v>
      </c>
    </row>
    <row r="452" ht="22.5" customHeight="1">
      <c r="A452" s="5">
        <v>465.0</v>
      </c>
      <c r="B452" s="5" t="s">
        <v>180</v>
      </c>
      <c r="C452" s="5" t="s">
        <v>51</v>
      </c>
      <c r="D452" s="5" t="s">
        <v>516</v>
      </c>
      <c r="E452" s="7">
        <v>71.25</v>
      </c>
      <c r="F452" s="8">
        <v>0.073</v>
      </c>
      <c r="G452" s="7">
        <f>VLOOKUP(C452,Provinsi[[#ALL],[Daerah]:[IDI]],4,0)</f>
        <v>5.68</v>
      </c>
      <c r="H452" s="9">
        <f>VLOOKUP(C452,Provinsi[[#ALL],[Daerah]:[IDI]],5,0)</f>
        <v>67.8</v>
      </c>
      <c r="I452" s="9">
        <f>(E452 - MIN(KabKota[IPM])) / (MAX(KabKota[IPM]) - MIN(KabKota[IPM])) * 100</f>
        <v>62.80487805</v>
      </c>
      <c r="J452" s="9">
        <f>(F452 - MIN(KabKota[IKF])) / (MAX(KabKota[IKF]) - MIN(KabKota[IKF])) * 100</f>
        <v>9.125</v>
      </c>
      <c r="K452" s="9">
        <f>(G452 - MIN(KabKota[TIK])) / (MAX(KabKota[TIK]) - MIN(KabKota[TIK])) * 100</f>
        <v>49.07407407</v>
      </c>
      <c r="L452" s="9">
        <f>(H452 - MIN(KabKota[IDI])) / (MAX(KabKota[IDI]) - MIN(KabKota[IDI])) * 100</f>
        <v>75.96638655</v>
      </c>
      <c r="M452" s="9">
        <f t="shared" si="1"/>
        <v>49.24258467</v>
      </c>
      <c r="N452" s="11">
        <f>_xlfn.RANK.EQ(M452,KabKota[Rata-rata Skor])</f>
        <v>451</v>
      </c>
      <c r="O452" s="6">
        <f>COUNTIFS(KabKota[Regional], B452, KabKota[Rata-rata Skor], "&gt;"&amp;M452) + 1</f>
        <v>19</v>
      </c>
    </row>
    <row r="453" ht="22.5" customHeight="1">
      <c r="A453" s="5">
        <v>449.0</v>
      </c>
      <c r="B453" s="5" t="s">
        <v>75</v>
      </c>
      <c r="C453" s="5" t="s">
        <v>50</v>
      </c>
      <c r="D453" s="5" t="s">
        <v>517</v>
      </c>
      <c r="E453" s="7">
        <v>70.71</v>
      </c>
      <c r="F453" s="8">
        <v>0.011</v>
      </c>
      <c r="G453" s="7">
        <f>VLOOKUP(C453,Provinsi[[#ALL],[Daerah]:[IDI]],4,0)</f>
        <v>5.73</v>
      </c>
      <c r="H453" s="9">
        <f>VLOOKUP(C453,Provinsi[[#ALL],[Daerah]:[IDI]],5,0)</f>
        <v>74.56</v>
      </c>
      <c r="I453" s="9">
        <f>(E453 - MIN(KabKota[IPM])) / (MAX(KabKota[IPM]) - MIN(KabKota[IPM])) * 100</f>
        <v>61.70731707</v>
      </c>
      <c r="J453" s="9">
        <f>(F453 - MIN(KabKota[IKF])) / (MAX(KabKota[IKF]) - MIN(KabKota[IKF])) * 100</f>
        <v>1.375</v>
      </c>
      <c r="K453" s="9">
        <f>(G453 - MIN(KabKota[TIK])) / (MAX(KabKota[TIK]) - MIN(KabKota[TIK])) * 100</f>
        <v>50.23148148</v>
      </c>
      <c r="L453" s="9">
        <f>(H453 - MIN(KabKota[IDI])) / (MAX(KabKota[IDI]) - MIN(KabKota[IDI])) * 100</f>
        <v>83.54061625</v>
      </c>
      <c r="M453" s="9">
        <f t="shared" si="1"/>
        <v>49.2136037</v>
      </c>
      <c r="N453" s="11">
        <f>_xlfn.RANK.EQ(M453,KabKota[Rata-rata Skor])</f>
        <v>452</v>
      </c>
      <c r="O453" s="6">
        <f>COUNTIFS(KabKota[Regional], B453, KabKota[Rata-rata Skor], "&gt;"&amp;M453) + 1</f>
        <v>79</v>
      </c>
    </row>
    <row r="454" ht="22.5" customHeight="1">
      <c r="A454" s="5">
        <v>467.0</v>
      </c>
      <c r="B454" s="5" t="s">
        <v>180</v>
      </c>
      <c r="C454" s="5" t="s">
        <v>51</v>
      </c>
      <c r="D454" s="5" t="s">
        <v>518</v>
      </c>
      <c r="E454" s="7">
        <v>68.89</v>
      </c>
      <c r="F454" s="8">
        <v>0.108</v>
      </c>
      <c r="G454" s="7">
        <f>VLOOKUP(C454,Provinsi[[#ALL],[Daerah]:[IDI]],4,0)</f>
        <v>5.68</v>
      </c>
      <c r="H454" s="9">
        <f>VLOOKUP(C454,Provinsi[[#ALL],[Daerah]:[IDI]],5,0)</f>
        <v>67.8</v>
      </c>
      <c r="I454" s="9">
        <f>(E454 - MIN(KabKota[IPM])) / (MAX(KabKota[IPM]) - MIN(KabKota[IPM])) * 100</f>
        <v>58.00813008</v>
      </c>
      <c r="J454" s="9">
        <f>(F454 - MIN(KabKota[IKF])) / (MAX(KabKota[IKF]) - MIN(KabKota[IKF])) * 100</f>
        <v>13.5</v>
      </c>
      <c r="K454" s="9">
        <f>(G454 - MIN(KabKota[TIK])) / (MAX(KabKota[TIK]) - MIN(KabKota[TIK])) * 100</f>
        <v>49.07407407</v>
      </c>
      <c r="L454" s="9">
        <f>(H454 - MIN(KabKota[IDI])) / (MAX(KabKota[IDI]) - MIN(KabKota[IDI])) * 100</f>
        <v>75.96638655</v>
      </c>
      <c r="M454" s="9">
        <f t="shared" si="1"/>
        <v>49.13714768</v>
      </c>
      <c r="N454" s="11">
        <f>_xlfn.RANK.EQ(M454,KabKota[Rata-rata Skor])</f>
        <v>453</v>
      </c>
      <c r="O454" s="6">
        <f>COUNTIFS(KabKota[Regional], B454, KabKota[Rata-rata Skor], "&gt;"&amp;M454) + 1</f>
        <v>20</v>
      </c>
    </row>
    <row r="455" ht="22.5" customHeight="1">
      <c r="A455" s="5">
        <v>297.0</v>
      </c>
      <c r="B455" s="5" t="s">
        <v>60</v>
      </c>
      <c r="C455" s="5" t="s">
        <v>52</v>
      </c>
      <c r="D455" s="5" t="s">
        <v>519</v>
      </c>
      <c r="E455" s="7">
        <v>68.44</v>
      </c>
      <c r="F455" s="8">
        <v>0.069</v>
      </c>
      <c r="G455" s="7">
        <f>VLOOKUP(C455,Provinsi[[#ALL],[Daerah]:[IDI]],4,0)</f>
        <v>5.36</v>
      </c>
      <c r="H455" s="9">
        <f>VLOOKUP(C455,Provinsi[[#ALL],[Daerah]:[IDI]],5,0)</f>
        <v>79.47</v>
      </c>
      <c r="I455" s="9">
        <f>(E455 - MIN(KabKota[IPM])) / (MAX(KabKota[IPM]) - MIN(KabKota[IPM])) * 100</f>
        <v>57.09349593</v>
      </c>
      <c r="J455" s="9">
        <f>(F455 - MIN(KabKota[IKF])) / (MAX(KabKota[IKF]) - MIN(KabKota[IKF])) * 100</f>
        <v>8.625</v>
      </c>
      <c r="K455" s="9">
        <f>(G455 - MIN(KabKota[TIK])) / (MAX(KabKota[TIK]) - MIN(KabKota[TIK])) * 100</f>
        <v>41.66666667</v>
      </c>
      <c r="L455" s="9">
        <f>(H455 - MIN(KabKota[IDI])) / (MAX(KabKota[IDI]) - MIN(KabKota[IDI])) * 100</f>
        <v>89.04201681</v>
      </c>
      <c r="M455" s="9">
        <f t="shared" si="1"/>
        <v>49.10679485</v>
      </c>
      <c r="N455" s="11">
        <f>_xlfn.RANK.EQ(M455,KabKota[Rata-rata Skor])</f>
        <v>454</v>
      </c>
      <c r="O455" s="6">
        <f>COUNTIFS(KabKota[Regional], B455, KabKota[Rata-rata Skor], "&gt;"&amp;M455) + 1</f>
        <v>27</v>
      </c>
    </row>
    <row r="456" ht="22.5" customHeight="1">
      <c r="A456" s="5">
        <v>444.0</v>
      </c>
      <c r="B456" s="5" t="s">
        <v>75</v>
      </c>
      <c r="C456" s="5" t="s">
        <v>48</v>
      </c>
      <c r="D456" s="5" t="s">
        <v>520</v>
      </c>
      <c r="E456" s="7">
        <v>69.62</v>
      </c>
      <c r="F456" s="8">
        <v>0.002</v>
      </c>
      <c r="G456" s="7">
        <f>VLOOKUP(C456,Provinsi[[#ALL],[Daerah]:[IDI]],4,0)</f>
        <v>5.85</v>
      </c>
      <c r="H456" s="9">
        <f>VLOOKUP(C456,Provinsi[[#ALL],[Daerah]:[IDI]],5,0)</f>
        <v>74.57</v>
      </c>
      <c r="I456" s="9">
        <f>(E456 - MIN(KabKota[IPM])) / (MAX(KabKota[IPM]) - MIN(KabKota[IPM])) * 100</f>
        <v>59.49186992</v>
      </c>
      <c r="J456" s="9">
        <f>(F456 - MIN(KabKota[IKF])) / (MAX(KabKota[IKF]) - MIN(KabKota[IKF])) * 100</f>
        <v>0.25</v>
      </c>
      <c r="K456" s="9">
        <f>(G456 - MIN(KabKota[TIK])) / (MAX(KabKota[TIK]) - MIN(KabKota[TIK])) * 100</f>
        <v>53.00925926</v>
      </c>
      <c r="L456" s="9">
        <f>(H456 - MIN(KabKota[IDI])) / (MAX(KabKota[IDI]) - MIN(KabKota[IDI])) * 100</f>
        <v>83.55182073</v>
      </c>
      <c r="M456" s="9">
        <f t="shared" si="1"/>
        <v>49.07573748</v>
      </c>
      <c r="N456" s="11">
        <f>_xlfn.RANK.EQ(M456,KabKota[Rata-rata Skor])</f>
        <v>455</v>
      </c>
      <c r="O456" s="6">
        <f>COUNTIFS(KabKota[Regional], B456, KabKota[Rata-rata Skor], "&gt;"&amp;M456) + 1</f>
        <v>80</v>
      </c>
    </row>
    <row r="457" ht="22.5" customHeight="1">
      <c r="A457" s="5">
        <v>448.0</v>
      </c>
      <c r="B457" s="5" t="s">
        <v>75</v>
      </c>
      <c r="C457" s="5" t="s">
        <v>50</v>
      </c>
      <c r="D457" s="5" t="s">
        <v>521</v>
      </c>
      <c r="E457" s="7">
        <v>69.56</v>
      </c>
      <c r="F457" s="8">
        <v>0.024</v>
      </c>
      <c r="G457" s="7">
        <f>VLOOKUP(C457,Provinsi[[#ALL],[Daerah]:[IDI]],4,0)</f>
        <v>5.73</v>
      </c>
      <c r="H457" s="9">
        <f>VLOOKUP(C457,Provinsi[[#ALL],[Daerah]:[IDI]],5,0)</f>
        <v>74.56</v>
      </c>
      <c r="I457" s="9">
        <f>(E457 - MIN(KabKota[IPM])) / (MAX(KabKota[IPM]) - MIN(KabKota[IPM])) * 100</f>
        <v>59.3699187</v>
      </c>
      <c r="J457" s="9">
        <f>(F457 - MIN(KabKota[IKF])) / (MAX(KabKota[IKF]) - MIN(KabKota[IKF])) * 100</f>
        <v>3</v>
      </c>
      <c r="K457" s="9">
        <f>(G457 - MIN(KabKota[TIK])) / (MAX(KabKota[TIK]) - MIN(KabKota[TIK])) * 100</f>
        <v>50.23148148</v>
      </c>
      <c r="L457" s="9">
        <f>(H457 - MIN(KabKota[IDI])) / (MAX(KabKota[IDI]) - MIN(KabKota[IDI])) * 100</f>
        <v>83.54061625</v>
      </c>
      <c r="M457" s="9">
        <f t="shared" si="1"/>
        <v>49.03550411</v>
      </c>
      <c r="N457" s="11">
        <f>_xlfn.RANK.EQ(M457,KabKota[Rata-rata Skor])</f>
        <v>456</v>
      </c>
      <c r="O457" s="6">
        <f>COUNTIFS(KabKota[Regional], B457, KabKota[Rata-rata Skor], "&gt;"&amp;M457) + 1</f>
        <v>81</v>
      </c>
    </row>
    <row r="458" ht="22.5" customHeight="1">
      <c r="A458" s="5">
        <v>136.0</v>
      </c>
      <c r="B458" s="5" t="s">
        <v>70</v>
      </c>
      <c r="C458" s="5" t="s">
        <v>43</v>
      </c>
      <c r="D458" s="5" t="s">
        <v>522</v>
      </c>
      <c r="E458" s="7">
        <v>69.4</v>
      </c>
      <c r="F458" s="8">
        <v>0.007</v>
      </c>
      <c r="G458" s="7">
        <f>VLOOKUP(C458,Provinsi[[#ALL],[Daerah]:[IDI]],4,0)</f>
        <v>5.91</v>
      </c>
      <c r="H458" s="9">
        <f>VLOOKUP(C458,Provinsi[[#ALL],[Daerah]:[IDI]],5,0)</f>
        <v>72.62</v>
      </c>
      <c r="I458" s="9">
        <f>(E458 - MIN(KabKota[IPM])) / (MAX(KabKota[IPM]) - MIN(KabKota[IPM])) * 100</f>
        <v>59.04471545</v>
      </c>
      <c r="J458" s="9">
        <f>(F458 - MIN(KabKota[IKF])) / (MAX(KabKota[IKF]) - MIN(KabKota[IKF])) * 100</f>
        <v>0.875</v>
      </c>
      <c r="K458" s="9">
        <f>(G458 - MIN(KabKota[TIK])) / (MAX(KabKota[TIK]) - MIN(KabKota[TIK])) * 100</f>
        <v>54.39814815</v>
      </c>
      <c r="L458" s="9">
        <f>(H458 - MIN(KabKota[IDI])) / (MAX(KabKota[IDI]) - MIN(KabKota[IDI])) * 100</f>
        <v>81.36694678</v>
      </c>
      <c r="M458" s="9">
        <f t="shared" si="1"/>
        <v>48.92120259</v>
      </c>
      <c r="N458" s="11">
        <f>_xlfn.RANK.EQ(M458,KabKota[Rata-rata Skor])</f>
        <v>457</v>
      </c>
      <c r="O458" s="6">
        <f>COUNTIFS(KabKota[Regional], B458, KabKota[Rata-rata Skor], "&gt;"&amp;M458) + 1</f>
        <v>154</v>
      </c>
    </row>
    <row r="459" ht="22.5" customHeight="1">
      <c r="A459" s="5">
        <v>483.0</v>
      </c>
      <c r="B459" s="5" t="s">
        <v>180</v>
      </c>
      <c r="C459" s="5" t="s">
        <v>26</v>
      </c>
      <c r="D459" s="5" t="s">
        <v>523</v>
      </c>
      <c r="E459" s="7">
        <v>72.0</v>
      </c>
      <c r="F459" s="8">
        <v>0.088</v>
      </c>
      <c r="G459" s="7">
        <f>VLOOKUP(C459,Provinsi[[#ALL],[Daerah]:[IDI]],4,0)</f>
        <v>5.61</v>
      </c>
      <c r="H459" s="9">
        <f>VLOOKUP(C459,Provinsi[[#ALL],[Daerah]:[IDI]],5,0)</f>
        <v>64.74</v>
      </c>
      <c r="I459" s="9">
        <f>(E459 - MIN(KabKota[IPM])) / (MAX(KabKota[IPM]) - MIN(KabKota[IPM])) * 100</f>
        <v>64.32926829</v>
      </c>
      <c r="J459" s="9">
        <f>(F459 - MIN(KabKota[IKF])) / (MAX(KabKota[IKF]) - MIN(KabKota[IKF])) * 100</f>
        <v>11</v>
      </c>
      <c r="K459" s="9">
        <f>(G459 - MIN(KabKota[TIK])) / (MAX(KabKota[TIK]) - MIN(KabKota[TIK])) * 100</f>
        <v>47.4537037</v>
      </c>
      <c r="L459" s="9">
        <f>(H459 - MIN(KabKota[IDI])) / (MAX(KabKota[IDI]) - MIN(KabKota[IDI])) * 100</f>
        <v>72.53781513</v>
      </c>
      <c r="M459" s="9">
        <f t="shared" si="1"/>
        <v>48.83019678</v>
      </c>
      <c r="N459" s="11">
        <f>_xlfn.RANK.EQ(M459,KabKota[Rata-rata Skor])</f>
        <v>458</v>
      </c>
      <c r="O459" s="6">
        <f>COUNTIFS(KabKota[Regional], B459, KabKota[Rata-rata Skor], "&gt;"&amp;M459) + 1</f>
        <v>21</v>
      </c>
    </row>
    <row r="460" ht="22.5" customHeight="1">
      <c r="A460" s="5">
        <v>295.0</v>
      </c>
      <c r="B460" s="5" t="s">
        <v>60</v>
      </c>
      <c r="C460" s="5" t="s">
        <v>52</v>
      </c>
      <c r="D460" s="5" t="s">
        <v>524</v>
      </c>
      <c r="E460" s="7">
        <v>67.87</v>
      </c>
      <c r="F460" s="8">
        <v>0.069</v>
      </c>
      <c r="G460" s="7">
        <f>VLOOKUP(C460,Provinsi[[#ALL],[Daerah]:[IDI]],4,0)</f>
        <v>5.36</v>
      </c>
      <c r="H460" s="9">
        <f>VLOOKUP(C460,Provinsi[[#ALL],[Daerah]:[IDI]],5,0)</f>
        <v>79.47</v>
      </c>
      <c r="I460" s="9">
        <f>(E460 - MIN(KabKota[IPM])) / (MAX(KabKota[IPM]) - MIN(KabKota[IPM])) * 100</f>
        <v>55.93495935</v>
      </c>
      <c r="J460" s="9">
        <f>(F460 - MIN(KabKota[IKF])) / (MAX(KabKota[IKF]) - MIN(KabKota[IKF])) * 100</f>
        <v>8.625</v>
      </c>
      <c r="K460" s="9">
        <f>(G460 - MIN(KabKota[TIK])) / (MAX(KabKota[TIK]) - MIN(KabKota[TIK])) * 100</f>
        <v>41.66666667</v>
      </c>
      <c r="L460" s="9">
        <f>(H460 - MIN(KabKota[IDI])) / (MAX(KabKota[IDI]) - MIN(KabKota[IDI])) * 100</f>
        <v>89.04201681</v>
      </c>
      <c r="M460" s="9">
        <f t="shared" si="1"/>
        <v>48.81716071</v>
      </c>
      <c r="N460" s="11">
        <f>_xlfn.RANK.EQ(M460,KabKota[Rata-rata Skor])</f>
        <v>459</v>
      </c>
      <c r="O460" s="6">
        <f>COUNTIFS(KabKota[Regional], B460, KabKota[Rata-rata Skor], "&gt;"&amp;M460) + 1</f>
        <v>28</v>
      </c>
    </row>
    <row r="461" ht="22.5" customHeight="1">
      <c r="A461" s="5">
        <v>299.0</v>
      </c>
      <c r="B461" s="5" t="s">
        <v>60</v>
      </c>
      <c r="C461" s="5" t="s">
        <v>52</v>
      </c>
      <c r="D461" s="5" t="s">
        <v>525</v>
      </c>
      <c r="E461" s="7">
        <v>70.65</v>
      </c>
      <c r="F461" s="8">
        <v>0.019</v>
      </c>
      <c r="G461" s="7">
        <f>VLOOKUP(C461,Provinsi[[#ALL],[Daerah]:[IDI]],4,0)</f>
        <v>5.36</v>
      </c>
      <c r="H461" s="9">
        <f>VLOOKUP(C461,Provinsi[[#ALL],[Daerah]:[IDI]],5,0)</f>
        <v>79.47</v>
      </c>
      <c r="I461" s="9">
        <f>(E461 - MIN(KabKota[IPM])) / (MAX(KabKota[IPM]) - MIN(KabKota[IPM])) * 100</f>
        <v>61.58536585</v>
      </c>
      <c r="J461" s="9">
        <f>(F461 - MIN(KabKota[IKF])) / (MAX(KabKota[IKF]) - MIN(KabKota[IKF])) * 100</f>
        <v>2.375</v>
      </c>
      <c r="K461" s="9">
        <f>(G461 - MIN(KabKota[TIK])) / (MAX(KabKota[TIK]) - MIN(KabKota[TIK])) * 100</f>
        <v>41.66666667</v>
      </c>
      <c r="L461" s="9">
        <f>(H461 - MIN(KabKota[IDI])) / (MAX(KabKota[IDI]) - MIN(KabKota[IDI])) * 100</f>
        <v>89.04201681</v>
      </c>
      <c r="M461" s="9">
        <f t="shared" si="1"/>
        <v>48.66726233</v>
      </c>
      <c r="N461" s="11">
        <f>_xlfn.RANK.EQ(M461,KabKota[Rata-rata Skor])</f>
        <v>460</v>
      </c>
      <c r="O461" s="6">
        <f>COUNTIFS(KabKota[Regional], B461, KabKota[Rata-rata Skor], "&gt;"&amp;M461) + 1</f>
        <v>29</v>
      </c>
    </row>
    <row r="462" ht="22.5" customHeight="1">
      <c r="A462" s="5">
        <v>296.0</v>
      </c>
      <c r="B462" s="5" t="s">
        <v>60</v>
      </c>
      <c r="C462" s="5" t="s">
        <v>52</v>
      </c>
      <c r="D462" s="5" t="s">
        <v>526</v>
      </c>
      <c r="E462" s="7">
        <v>68.89</v>
      </c>
      <c r="F462" s="8">
        <v>0.046</v>
      </c>
      <c r="G462" s="7">
        <f>VLOOKUP(C462,Provinsi[[#ALL],[Daerah]:[IDI]],4,0)</f>
        <v>5.36</v>
      </c>
      <c r="H462" s="9">
        <f>VLOOKUP(C462,Provinsi[[#ALL],[Daerah]:[IDI]],5,0)</f>
        <v>79.47</v>
      </c>
      <c r="I462" s="9">
        <f>(E462 - MIN(KabKota[IPM])) / (MAX(KabKota[IPM]) - MIN(KabKota[IPM])) * 100</f>
        <v>58.00813008</v>
      </c>
      <c r="J462" s="9">
        <f>(F462 - MIN(KabKota[IKF])) / (MAX(KabKota[IKF]) - MIN(KabKota[IKF])) * 100</f>
        <v>5.75</v>
      </c>
      <c r="K462" s="9">
        <f>(G462 - MIN(KabKota[TIK])) / (MAX(KabKota[TIK]) - MIN(KabKota[TIK])) * 100</f>
        <v>41.66666667</v>
      </c>
      <c r="L462" s="9">
        <f>(H462 - MIN(KabKota[IDI])) / (MAX(KabKota[IDI]) - MIN(KabKota[IDI])) * 100</f>
        <v>89.04201681</v>
      </c>
      <c r="M462" s="9">
        <f t="shared" si="1"/>
        <v>48.61670339</v>
      </c>
      <c r="N462" s="11">
        <f>_xlfn.RANK.EQ(M462,KabKota[Rata-rata Skor])</f>
        <v>461</v>
      </c>
      <c r="O462" s="6">
        <f>COUNTIFS(KabKota[Regional], B462, KabKota[Rata-rata Skor], "&gt;"&amp;M462) + 1</f>
        <v>30</v>
      </c>
    </row>
    <row r="463" ht="22.5" customHeight="1">
      <c r="A463" s="5">
        <v>303.0</v>
      </c>
      <c r="B463" s="5" t="s">
        <v>60</v>
      </c>
      <c r="C463" s="5" t="s">
        <v>52</v>
      </c>
      <c r="D463" s="5" t="s">
        <v>527</v>
      </c>
      <c r="E463" s="7">
        <v>70.99</v>
      </c>
      <c r="F463" s="8">
        <v>0.009</v>
      </c>
      <c r="G463" s="7">
        <f>VLOOKUP(C463,Provinsi[[#ALL],[Daerah]:[IDI]],4,0)</f>
        <v>5.36</v>
      </c>
      <c r="H463" s="9">
        <f>VLOOKUP(C463,Provinsi[[#ALL],[Daerah]:[IDI]],5,0)</f>
        <v>79.47</v>
      </c>
      <c r="I463" s="9">
        <f>(E463 - MIN(KabKota[IPM])) / (MAX(KabKota[IPM]) - MIN(KabKota[IPM])) * 100</f>
        <v>62.27642276</v>
      </c>
      <c r="J463" s="9">
        <f>(F463 - MIN(KabKota[IKF])) / (MAX(KabKota[IKF]) - MIN(KabKota[IKF])) * 100</f>
        <v>1.125</v>
      </c>
      <c r="K463" s="9">
        <f>(G463 - MIN(KabKota[TIK])) / (MAX(KabKota[TIK]) - MIN(KabKota[TIK])) * 100</f>
        <v>41.66666667</v>
      </c>
      <c r="L463" s="9">
        <f>(H463 - MIN(KabKota[IDI])) / (MAX(KabKota[IDI]) - MIN(KabKota[IDI])) * 100</f>
        <v>89.04201681</v>
      </c>
      <c r="M463" s="9">
        <f t="shared" si="1"/>
        <v>48.52752656</v>
      </c>
      <c r="N463" s="11">
        <f>_xlfn.RANK.EQ(M463,KabKota[Rata-rata Skor])</f>
        <v>462</v>
      </c>
      <c r="O463" s="6">
        <f>COUNTIFS(KabKota[Regional], B463, KabKota[Rata-rata Skor], "&gt;"&amp;M463) + 1</f>
        <v>31</v>
      </c>
    </row>
    <row r="464" ht="22.5" customHeight="1">
      <c r="A464" s="5">
        <v>293.0</v>
      </c>
      <c r="B464" s="5" t="s">
        <v>60</v>
      </c>
      <c r="C464" s="5" t="s">
        <v>52</v>
      </c>
      <c r="D464" s="5" t="s">
        <v>528</v>
      </c>
      <c r="E464" s="7">
        <v>69.03</v>
      </c>
      <c r="F464" s="8">
        <v>0.04</v>
      </c>
      <c r="G464" s="7">
        <f>VLOOKUP(C464,Provinsi[[#ALL],[Daerah]:[IDI]],4,0)</f>
        <v>5.36</v>
      </c>
      <c r="H464" s="9">
        <f>VLOOKUP(C464,Provinsi[[#ALL],[Daerah]:[IDI]],5,0)</f>
        <v>79.47</v>
      </c>
      <c r="I464" s="9">
        <f>(E464 - MIN(KabKota[IPM])) / (MAX(KabKota[IPM]) - MIN(KabKota[IPM])) * 100</f>
        <v>58.29268293</v>
      </c>
      <c r="J464" s="9">
        <f>(F464 - MIN(KabKota[IKF])) / (MAX(KabKota[IKF]) - MIN(KabKota[IKF])) * 100</f>
        <v>5</v>
      </c>
      <c r="K464" s="9">
        <f>(G464 - MIN(KabKota[TIK])) / (MAX(KabKota[TIK]) - MIN(KabKota[TIK])) * 100</f>
        <v>41.66666667</v>
      </c>
      <c r="L464" s="9">
        <f>(H464 - MIN(KabKota[IDI])) / (MAX(KabKota[IDI]) - MIN(KabKota[IDI])) * 100</f>
        <v>89.04201681</v>
      </c>
      <c r="M464" s="9">
        <f t="shared" si="1"/>
        <v>48.5003416</v>
      </c>
      <c r="N464" s="11">
        <f>_xlfn.RANK.EQ(M464,KabKota[Rata-rata Skor])</f>
        <v>463</v>
      </c>
      <c r="O464" s="6">
        <f>COUNTIFS(KabKota[Regional], B464, KabKota[Rata-rata Skor], "&gt;"&amp;M464) + 1</f>
        <v>32</v>
      </c>
    </row>
    <row r="465" ht="22.5" customHeight="1">
      <c r="A465" s="5">
        <v>302.0</v>
      </c>
      <c r="B465" s="5" t="s">
        <v>60</v>
      </c>
      <c r="C465" s="5" t="s">
        <v>52</v>
      </c>
      <c r="D465" s="5" t="s">
        <v>529</v>
      </c>
      <c r="E465" s="7">
        <v>70.1</v>
      </c>
      <c r="F465" s="8">
        <v>0.017</v>
      </c>
      <c r="G465" s="7">
        <f>VLOOKUP(C465,Provinsi[[#ALL],[Daerah]:[IDI]],4,0)</f>
        <v>5.36</v>
      </c>
      <c r="H465" s="9">
        <f>VLOOKUP(C465,Provinsi[[#ALL],[Daerah]:[IDI]],5,0)</f>
        <v>79.47</v>
      </c>
      <c r="I465" s="9">
        <f>(E465 - MIN(KabKota[IPM])) / (MAX(KabKota[IPM]) - MIN(KabKota[IPM])) * 100</f>
        <v>60.46747967</v>
      </c>
      <c r="J465" s="9">
        <f>(F465 - MIN(KabKota[IKF])) / (MAX(KabKota[IKF]) - MIN(KabKota[IKF])) * 100</f>
        <v>2.125</v>
      </c>
      <c r="K465" s="9">
        <f>(G465 - MIN(KabKota[TIK])) / (MAX(KabKota[TIK]) - MIN(KabKota[TIK])) * 100</f>
        <v>41.66666667</v>
      </c>
      <c r="L465" s="9">
        <f>(H465 - MIN(KabKota[IDI])) / (MAX(KabKota[IDI]) - MIN(KabKota[IDI])) * 100</f>
        <v>89.04201681</v>
      </c>
      <c r="M465" s="9">
        <f t="shared" si="1"/>
        <v>48.32529079</v>
      </c>
      <c r="N465" s="11">
        <f>_xlfn.RANK.EQ(M465,KabKota[Rata-rata Skor])</f>
        <v>464</v>
      </c>
      <c r="O465" s="6">
        <f>COUNTIFS(KabKota[Regional], B465, KabKota[Rata-rata Skor], "&gt;"&amp;M465) + 1</f>
        <v>33</v>
      </c>
    </row>
    <row r="466" ht="22.5" customHeight="1">
      <c r="A466" s="5">
        <v>310.0</v>
      </c>
      <c r="B466" s="5" t="s">
        <v>60</v>
      </c>
      <c r="C466" s="5" t="s">
        <v>52</v>
      </c>
      <c r="D466" s="5" t="s">
        <v>530</v>
      </c>
      <c r="E466" s="7">
        <v>64.82</v>
      </c>
      <c r="F466" s="8">
        <v>0.102</v>
      </c>
      <c r="G466" s="7">
        <f>VLOOKUP(C466,Provinsi[[#ALL],[Daerah]:[IDI]],4,0)</f>
        <v>5.36</v>
      </c>
      <c r="H466" s="9">
        <f>VLOOKUP(C466,Provinsi[[#ALL],[Daerah]:[IDI]],5,0)</f>
        <v>79.47</v>
      </c>
      <c r="I466" s="9">
        <f>(E466 - MIN(KabKota[IPM])) / (MAX(KabKota[IPM]) - MIN(KabKota[IPM])) * 100</f>
        <v>49.73577236</v>
      </c>
      <c r="J466" s="9">
        <f>(F466 - MIN(KabKota[IKF])) / (MAX(KabKota[IKF]) - MIN(KabKota[IKF])) * 100</f>
        <v>12.75</v>
      </c>
      <c r="K466" s="9">
        <f>(G466 - MIN(KabKota[TIK])) / (MAX(KabKota[TIK]) - MIN(KabKota[TIK])) * 100</f>
        <v>41.66666667</v>
      </c>
      <c r="L466" s="9">
        <f>(H466 - MIN(KabKota[IDI])) / (MAX(KabKota[IDI]) - MIN(KabKota[IDI])) * 100</f>
        <v>89.04201681</v>
      </c>
      <c r="M466" s="9">
        <f t="shared" si="1"/>
        <v>48.29861396</v>
      </c>
      <c r="N466" s="11">
        <f>_xlfn.RANK.EQ(M466,KabKota[Rata-rata Skor])</f>
        <v>465</v>
      </c>
      <c r="O466" s="6">
        <f>COUNTIFS(KabKota[Regional], B466, KabKota[Rata-rata Skor], "&gt;"&amp;M466) + 1</f>
        <v>34</v>
      </c>
    </row>
    <row r="467" ht="22.5" customHeight="1">
      <c r="A467" s="5">
        <v>485.0</v>
      </c>
      <c r="B467" s="5" t="s">
        <v>180</v>
      </c>
      <c r="C467" s="5" t="s">
        <v>26</v>
      </c>
      <c r="D467" s="5" t="s">
        <v>531</v>
      </c>
      <c r="E467" s="7">
        <v>65.26</v>
      </c>
      <c r="F467" s="8">
        <v>0.178</v>
      </c>
      <c r="G467" s="7">
        <f>VLOOKUP(C467,Provinsi[[#ALL],[Daerah]:[IDI]],4,0)</f>
        <v>5.61</v>
      </c>
      <c r="H467" s="9">
        <f>VLOOKUP(C467,Provinsi[[#ALL],[Daerah]:[IDI]],5,0)</f>
        <v>64.74</v>
      </c>
      <c r="I467" s="9">
        <f>(E467 - MIN(KabKota[IPM])) / (MAX(KabKota[IPM]) - MIN(KabKota[IPM])) * 100</f>
        <v>50.6300813</v>
      </c>
      <c r="J467" s="9">
        <f>(F467 - MIN(KabKota[IKF])) / (MAX(KabKota[IKF]) - MIN(KabKota[IKF])) * 100</f>
        <v>22.25</v>
      </c>
      <c r="K467" s="9">
        <f>(G467 - MIN(KabKota[TIK])) / (MAX(KabKota[TIK]) - MIN(KabKota[TIK])) * 100</f>
        <v>47.4537037</v>
      </c>
      <c r="L467" s="9">
        <f>(H467 - MIN(KabKota[IDI])) / (MAX(KabKota[IDI]) - MIN(KabKota[IDI])) * 100</f>
        <v>72.53781513</v>
      </c>
      <c r="M467" s="9">
        <f t="shared" si="1"/>
        <v>48.21790003</v>
      </c>
      <c r="N467" s="11">
        <f>_xlfn.RANK.EQ(M467,KabKota[Rata-rata Skor])</f>
        <v>466</v>
      </c>
      <c r="O467" s="6">
        <f>COUNTIFS(KabKota[Regional], B467, KabKota[Rata-rata Skor], "&gt;"&amp;M467) + 1</f>
        <v>22</v>
      </c>
    </row>
    <row r="468" ht="22.5" customHeight="1">
      <c r="A468" s="5">
        <v>453.0</v>
      </c>
      <c r="B468" s="5" t="s">
        <v>180</v>
      </c>
      <c r="C468" s="5" t="s">
        <v>49</v>
      </c>
      <c r="D468" s="5" t="s">
        <v>532</v>
      </c>
      <c r="E468" s="7">
        <v>71.16</v>
      </c>
      <c r="F468" s="8">
        <v>0.004</v>
      </c>
      <c r="G468" s="7">
        <f>VLOOKUP(C468,Provinsi[[#ALL],[Daerah]:[IDI]],4,0)</f>
        <v>5.84</v>
      </c>
      <c r="H468" s="9">
        <f>VLOOKUP(C468,Provinsi[[#ALL],[Daerah]:[IDI]],5,0)</f>
        <v>67.98</v>
      </c>
      <c r="I468" s="9">
        <f>(E468 - MIN(KabKota[IPM])) / (MAX(KabKota[IPM]) - MIN(KabKota[IPM])) * 100</f>
        <v>62.62195122</v>
      </c>
      <c r="J468" s="9">
        <f>(F468 - MIN(KabKota[IKF])) / (MAX(KabKota[IKF]) - MIN(KabKota[IKF])) * 100</f>
        <v>0.5</v>
      </c>
      <c r="K468" s="9">
        <f>(G468 - MIN(KabKota[TIK])) / (MAX(KabKota[TIK]) - MIN(KabKota[TIK])) * 100</f>
        <v>52.77777778</v>
      </c>
      <c r="L468" s="9">
        <f>(H468 - MIN(KabKota[IDI])) / (MAX(KabKota[IDI]) - MIN(KabKota[IDI])) * 100</f>
        <v>76.16806723</v>
      </c>
      <c r="M468" s="9">
        <f t="shared" si="1"/>
        <v>48.01694906</v>
      </c>
      <c r="N468" s="11">
        <f>_xlfn.RANK.EQ(M468,KabKota[Rata-rata Skor])</f>
        <v>467</v>
      </c>
      <c r="O468" s="6">
        <f>COUNTIFS(KabKota[Regional], B468, KabKota[Rata-rata Skor], "&gt;"&amp;M468) + 1</f>
        <v>23</v>
      </c>
    </row>
    <row r="469" ht="22.5" customHeight="1">
      <c r="A469" s="5">
        <v>311.0</v>
      </c>
      <c r="B469" s="5" t="s">
        <v>60</v>
      </c>
      <c r="C469" s="5" t="s">
        <v>52</v>
      </c>
      <c r="D469" s="5" t="s">
        <v>533</v>
      </c>
      <c r="E469" s="7">
        <v>66.63</v>
      </c>
      <c r="F469" s="8">
        <v>0.06</v>
      </c>
      <c r="G469" s="7">
        <f>VLOOKUP(C469,Provinsi[[#ALL],[Daerah]:[IDI]],4,0)</f>
        <v>5.36</v>
      </c>
      <c r="H469" s="9">
        <f>VLOOKUP(C469,Provinsi[[#ALL],[Daerah]:[IDI]],5,0)</f>
        <v>79.47</v>
      </c>
      <c r="I469" s="9">
        <f>(E469 - MIN(KabKota[IPM])) / (MAX(KabKota[IPM]) - MIN(KabKota[IPM])) * 100</f>
        <v>53.41463415</v>
      </c>
      <c r="J469" s="9">
        <f>(F469 - MIN(KabKota[IKF])) / (MAX(KabKota[IKF]) - MIN(KabKota[IKF])) * 100</f>
        <v>7.5</v>
      </c>
      <c r="K469" s="9">
        <f>(G469 - MIN(KabKota[TIK])) / (MAX(KabKota[TIK]) - MIN(KabKota[TIK])) * 100</f>
        <v>41.66666667</v>
      </c>
      <c r="L469" s="9">
        <f>(H469 - MIN(KabKota[IDI])) / (MAX(KabKota[IDI]) - MIN(KabKota[IDI])) * 100</f>
        <v>89.04201681</v>
      </c>
      <c r="M469" s="9">
        <f t="shared" si="1"/>
        <v>47.9058294</v>
      </c>
      <c r="N469" s="11">
        <f>_xlfn.RANK.EQ(M469,KabKota[Rata-rata Skor])</f>
        <v>468</v>
      </c>
      <c r="O469" s="6">
        <f>COUNTIFS(KabKota[Regional], B469, KabKota[Rata-rata Skor], "&gt;"&amp;M469) + 1</f>
        <v>35</v>
      </c>
    </row>
    <row r="470" ht="22.5" customHeight="1">
      <c r="A470" s="5">
        <v>514.0</v>
      </c>
      <c r="B470" s="5" t="s">
        <v>180</v>
      </c>
      <c r="C470" s="5" t="s">
        <v>54</v>
      </c>
      <c r="D470" s="5" t="s">
        <v>534</v>
      </c>
      <c r="E470" s="7">
        <v>81.03</v>
      </c>
      <c r="F470" s="8">
        <v>0.49</v>
      </c>
      <c r="G470" s="7">
        <f>VLOOKUP(C470,Provinsi[[#ALL],[Daerah]:[IDI]],4,0)</f>
        <v>5.61</v>
      </c>
      <c r="H470" s="9">
        <f>VLOOKUP(C470,Provinsi[[#ALL],[Daerah]:[IDI]],5,0)</f>
        <v>0</v>
      </c>
      <c r="I470" s="9">
        <f>(E470 - MIN(KabKota[IPM])) / (MAX(KabKota[IPM]) - MIN(KabKota[IPM])) * 100</f>
        <v>82.68292683</v>
      </c>
      <c r="J470" s="9">
        <f>(F470 - MIN(KabKota[IKF])) / (MAX(KabKota[IKF]) - MIN(KabKota[IKF])) * 100</f>
        <v>61.25</v>
      </c>
      <c r="K470" s="9">
        <f>(G470 - MIN(KabKota[TIK])) / (MAX(KabKota[TIK]) - MIN(KabKota[TIK])) * 100</f>
        <v>47.4537037</v>
      </c>
      <c r="L470" s="9">
        <f>(H470 - MIN(KabKota[IDI])) / (MAX(KabKota[IDI]) - MIN(KabKota[IDI])) * 100</f>
        <v>0</v>
      </c>
      <c r="M470" s="9">
        <f t="shared" si="1"/>
        <v>47.84665763</v>
      </c>
      <c r="N470" s="11">
        <f>_xlfn.RANK.EQ(M470,KabKota[Rata-rata Skor])</f>
        <v>469</v>
      </c>
      <c r="O470" s="6">
        <f>COUNTIFS(KabKota[Regional], B470, KabKota[Rata-rata Skor], "&gt;"&amp;M470) + 1</f>
        <v>24</v>
      </c>
    </row>
    <row r="471" ht="22.5" customHeight="1">
      <c r="A471" s="5">
        <v>305.0</v>
      </c>
      <c r="B471" s="5" t="s">
        <v>60</v>
      </c>
      <c r="C471" s="5" t="s">
        <v>52</v>
      </c>
      <c r="D471" s="5" t="s">
        <v>535</v>
      </c>
      <c r="E471" s="7">
        <v>69.7</v>
      </c>
      <c r="F471" s="8">
        <v>0.006</v>
      </c>
      <c r="G471" s="7">
        <f>VLOOKUP(C471,Provinsi[[#ALL],[Daerah]:[IDI]],4,0)</f>
        <v>5.36</v>
      </c>
      <c r="H471" s="9">
        <f>VLOOKUP(C471,Provinsi[[#ALL],[Daerah]:[IDI]],5,0)</f>
        <v>79.47</v>
      </c>
      <c r="I471" s="9">
        <f>(E471 - MIN(KabKota[IPM])) / (MAX(KabKota[IPM]) - MIN(KabKota[IPM])) * 100</f>
        <v>59.65447154</v>
      </c>
      <c r="J471" s="9">
        <f>(F471 - MIN(KabKota[IKF])) / (MAX(KabKota[IKF]) - MIN(KabKota[IKF])) * 100</f>
        <v>0.75</v>
      </c>
      <c r="K471" s="9">
        <f>(G471 - MIN(KabKota[TIK])) / (MAX(KabKota[TIK]) - MIN(KabKota[TIK])) * 100</f>
        <v>41.66666667</v>
      </c>
      <c r="L471" s="9">
        <f>(H471 - MIN(KabKota[IDI])) / (MAX(KabKota[IDI]) - MIN(KabKota[IDI])) * 100</f>
        <v>89.04201681</v>
      </c>
      <c r="M471" s="9">
        <f t="shared" si="1"/>
        <v>47.77828875</v>
      </c>
      <c r="N471" s="11">
        <f>_xlfn.RANK.EQ(M471,KabKota[Rata-rata Skor])</f>
        <v>470</v>
      </c>
      <c r="O471" s="6">
        <f>COUNTIFS(KabKota[Regional], B471, KabKota[Rata-rata Skor], "&gt;"&amp;M471) + 1</f>
        <v>36</v>
      </c>
    </row>
    <row r="472" ht="22.5" customHeight="1">
      <c r="A472" s="5">
        <v>487.0</v>
      </c>
      <c r="B472" s="5" t="s">
        <v>180</v>
      </c>
      <c r="C472" s="5" t="s">
        <v>26</v>
      </c>
      <c r="D472" s="5" t="s">
        <v>536</v>
      </c>
      <c r="E472" s="7">
        <v>63.24</v>
      </c>
      <c r="F472" s="8">
        <v>0.182</v>
      </c>
      <c r="G472" s="7">
        <f>VLOOKUP(C472,Provinsi[[#ALL],[Daerah]:[IDI]],4,0)</f>
        <v>5.61</v>
      </c>
      <c r="H472" s="9">
        <f>VLOOKUP(C472,Provinsi[[#ALL],[Daerah]:[IDI]],5,0)</f>
        <v>64.74</v>
      </c>
      <c r="I472" s="9">
        <f>(E472 - MIN(KabKota[IPM])) / (MAX(KabKota[IPM]) - MIN(KabKota[IPM])) * 100</f>
        <v>46.52439024</v>
      </c>
      <c r="J472" s="9">
        <f>(F472 - MIN(KabKota[IKF])) / (MAX(KabKota[IKF]) - MIN(KabKota[IKF])) * 100</f>
        <v>22.75</v>
      </c>
      <c r="K472" s="9">
        <f>(G472 - MIN(KabKota[TIK])) / (MAX(KabKota[TIK]) - MIN(KabKota[TIK])) * 100</f>
        <v>47.4537037</v>
      </c>
      <c r="L472" s="9">
        <f>(H472 - MIN(KabKota[IDI])) / (MAX(KabKota[IDI]) - MIN(KabKota[IDI])) * 100</f>
        <v>72.53781513</v>
      </c>
      <c r="M472" s="9">
        <f t="shared" si="1"/>
        <v>47.31647727</v>
      </c>
      <c r="N472" s="11">
        <f>_xlfn.RANK.EQ(M472,KabKota[Rata-rata Skor])</f>
        <v>471</v>
      </c>
      <c r="O472" s="6">
        <f>COUNTIFS(KabKota[Regional], B472, KabKota[Rata-rata Skor], "&gt;"&amp;M472) + 1</f>
        <v>25</v>
      </c>
    </row>
    <row r="473" ht="22.5" customHeight="1">
      <c r="A473" s="5">
        <v>294.0</v>
      </c>
      <c r="B473" s="5" t="s">
        <v>60</v>
      </c>
      <c r="C473" s="5" t="s">
        <v>52</v>
      </c>
      <c r="D473" s="5" t="s">
        <v>537</v>
      </c>
      <c r="E473" s="7">
        <v>66.88</v>
      </c>
      <c r="F473" s="8">
        <v>0.037</v>
      </c>
      <c r="G473" s="7">
        <f>VLOOKUP(C473,Provinsi[[#ALL],[Daerah]:[IDI]],4,0)</f>
        <v>5.36</v>
      </c>
      <c r="H473" s="9">
        <f>VLOOKUP(C473,Provinsi[[#ALL],[Daerah]:[IDI]],5,0)</f>
        <v>79.47</v>
      </c>
      <c r="I473" s="9">
        <f>(E473 - MIN(KabKota[IPM])) / (MAX(KabKota[IPM]) - MIN(KabKota[IPM])) * 100</f>
        <v>53.92276423</v>
      </c>
      <c r="J473" s="9">
        <f>(F473 - MIN(KabKota[IKF])) / (MAX(KabKota[IKF]) - MIN(KabKota[IKF])) * 100</f>
        <v>4.625</v>
      </c>
      <c r="K473" s="9">
        <f>(G473 - MIN(KabKota[TIK])) / (MAX(KabKota[TIK]) - MIN(KabKota[TIK])) * 100</f>
        <v>41.66666667</v>
      </c>
      <c r="L473" s="9">
        <f>(H473 - MIN(KabKota[IDI])) / (MAX(KabKota[IDI]) - MIN(KabKota[IDI])) * 100</f>
        <v>89.04201681</v>
      </c>
      <c r="M473" s="9">
        <f t="shared" si="1"/>
        <v>47.31411193</v>
      </c>
      <c r="N473" s="11">
        <f>_xlfn.RANK.EQ(M473,KabKota[Rata-rata Skor])</f>
        <v>472</v>
      </c>
      <c r="O473" s="6">
        <f>COUNTIFS(KabKota[Regional], B473, KabKota[Rata-rata Skor], "&gt;"&amp;M473) + 1</f>
        <v>37</v>
      </c>
    </row>
    <row r="474" ht="22.5" customHeight="1">
      <c r="A474" s="5">
        <v>460.0</v>
      </c>
      <c r="B474" s="5" t="s">
        <v>180</v>
      </c>
      <c r="C474" s="5" t="s">
        <v>49</v>
      </c>
      <c r="D474" s="5" t="s">
        <v>538</v>
      </c>
      <c r="E474" s="7">
        <v>69.36</v>
      </c>
      <c r="F474" s="8">
        <v>0.009</v>
      </c>
      <c r="G474" s="7">
        <f>VLOOKUP(C474,Provinsi[[#ALL],[Daerah]:[IDI]],4,0)</f>
        <v>5.84</v>
      </c>
      <c r="H474" s="9">
        <f>VLOOKUP(C474,Provinsi[[#ALL],[Daerah]:[IDI]],5,0)</f>
        <v>67.98</v>
      </c>
      <c r="I474" s="9">
        <f>(E474 - MIN(KabKota[IPM])) / (MAX(KabKota[IPM]) - MIN(KabKota[IPM])) * 100</f>
        <v>58.96341463</v>
      </c>
      <c r="J474" s="9">
        <f>(F474 - MIN(KabKota[IKF])) / (MAX(KabKota[IKF]) - MIN(KabKota[IKF])) * 100</f>
        <v>1.125</v>
      </c>
      <c r="K474" s="9">
        <f>(G474 - MIN(KabKota[TIK])) / (MAX(KabKota[TIK]) - MIN(KabKota[TIK])) * 100</f>
        <v>52.77777778</v>
      </c>
      <c r="L474" s="9">
        <f>(H474 - MIN(KabKota[IDI])) / (MAX(KabKota[IDI]) - MIN(KabKota[IDI])) * 100</f>
        <v>76.16806723</v>
      </c>
      <c r="M474" s="9">
        <f t="shared" si="1"/>
        <v>47.25856491</v>
      </c>
      <c r="N474" s="11">
        <f>_xlfn.RANK.EQ(M474,KabKota[Rata-rata Skor])</f>
        <v>473</v>
      </c>
      <c r="O474" s="6">
        <f>COUNTIFS(KabKota[Regional], B474, KabKota[Rata-rata Skor], "&gt;"&amp;M474) + 1</f>
        <v>26</v>
      </c>
    </row>
    <row r="475" ht="22.5" customHeight="1">
      <c r="A475" s="5">
        <v>309.0</v>
      </c>
      <c r="B475" s="5" t="s">
        <v>60</v>
      </c>
      <c r="C475" s="5" t="s">
        <v>52</v>
      </c>
      <c r="D475" s="5" t="s">
        <v>539</v>
      </c>
      <c r="E475" s="7">
        <v>65.29</v>
      </c>
      <c r="F475" s="8">
        <v>0.06</v>
      </c>
      <c r="G475" s="7">
        <f>VLOOKUP(C475,Provinsi[[#ALL],[Daerah]:[IDI]],4,0)</f>
        <v>5.36</v>
      </c>
      <c r="H475" s="9">
        <f>VLOOKUP(C475,Provinsi[[#ALL],[Daerah]:[IDI]],5,0)</f>
        <v>79.47</v>
      </c>
      <c r="I475" s="9">
        <f>(E475 - MIN(KabKota[IPM])) / (MAX(KabKota[IPM]) - MIN(KabKota[IPM])) * 100</f>
        <v>50.69105691</v>
      </c>
      <c r="J475" s="9">
        <f>(F475 - MIN(KabKota[IKF])) / (MAX(KabKota[IKF]) - MIN(KabKota[IKF])) * 100</f>
        <v>7.5</v>
      </c>
      <c r="K475" s="9">
        <f>(G475 - MIN(KabKota[TIK])) / (MAX(KabKota[TIK]) - MIN(KabKota[TIK])) * 100</f>
        <v>41.66666667</v>
      </c>
      <c r="L475" s="9">
        <f>(H475 - MIN(KabKota[IDI])) / (MAX(KabKota[IDI]) - MIN(KabKota[IDI])) * 100</f>
        <v>89.04201681</v>
      </c>
      <c r="M475" s="9">
        <f t="shared" si="1"/>
        <v>47.2249351</v>
      </c>
      <c r="N475" s="11">
        <f>_xlfn.RANK.EQ(M475,KabKota[Rata-rata Skor])</f>
        <v>474</v>
      </c>
      <c r="O475" s="6">
        <f>COUNTIFS(KabKota[Regional], B475, KabKota[Rata-rata Skor], "&gt;"&amp;M475) + 1</f>
        <v>38</v>
      </c>
    </row>
    <row r="476" ht="22.5" customHeight="1">
      <c r="A476" s="5">
        <v>459.0</v>
      </c>
      <c r="B476" s="5" t="s">
        <v>180</v>
      </c>
      <c r="C476" s="5" t="s">
        <v>49</v>
      </c>
      <c r="D476" s="5" t="s">
        <v>540</v>
      </c>
      <c r="E476" s="7">
        <v>68.66</v>
      </c>
      <c r="F476" s="8">
        <v>0.016</v>
      </c>
      <c r="G476" s="7">
        <f>VLOOKUP(C476,Provinsi[[#ALL],[Daerah]:[IDI]],4,0)</f>
        <v>5.84</v>
      </c>
      <c r="H476" s="9">
        <f>VLOOKUP(C476,Provinsi[[#ALL],[Daerah]:[IDI]],5,0)</f>
        <v>67.98</v>
      </c>
      <c r="I476" s="9">
        <f>(E476 - MIN(KabKota[IPM])) / (MAX(KabKota[IPM]) - MIN(KabKota[IPM])) * 100</f>
        <v>57.54065041</v>
      </c>
      <c r="J476" s="9">
        <f>(F476 - MIN(KabKota[IKF])) / (MAX(KabKota[IKF]) - MIN(KabKota[IKF])) * 100</f>
        <v>2</v>
      </c>
      <c r="K476" s="9">
        <f>(G476 - MIN(KabKota[TIK])) / (MAX(KabKota[TIK]) - MIN(KabKota[TIK])) * 100</f>
        <v>52.77777778</v>
      </c>
      <c r="L476" s="9">
        <f>(H476 - MIN(KabKota[IDI])) / (MAX(KabKota[IDI]) - MIN(KabKota[IDI])) * 100</f>
        <v>76.16806723</v>
      </c>
      <c r="M476" s="9">
        <f t="shared" si="1"/>
        <v>47.12162385</v>
      </c>
      <c r="N476" s="11">
        <f>_xlfn.RANK.EQ(M476,KabKota[Rata-rata Skor])</f>
        <v>475</v>
      </c>
      <c r="O476" s="6">
        <f>COUNTIFS(KabKota[Regional], B476, KabKota[Rata-rata Skor], "&gt;"&amp;M476) + 1</f>
        <v>27</v>
      </c>
    </row>
    <row r="477" ht="22.5" customHeight="1">
      <c r="A477" s="5">
        <v>312.0</v>
      </c>
      <c r="B477" s="5" t="s">
        <v>60</v>
      </c>
      <c r="C477" s="5" t="s">
        <v>52</v>
      </c>
      <c r="D477" s="5" t="s">
        <v>541</v>
      </c>
      <c r="E477" s="7">
        <v>62.74</v>
      </c>
      <c r="F477" s="8">
        <v>0.087</v>
      </c>
      <c r="G477" s="7">
        <f>VLOOKUP(C477,Provinsi[[#ALL],[Daerah]:[IDI]],4,0)</f>
        <v>5.36</v>
      </c>
      <c r="H477" s="9">
        <f>VLOOKUP(C477,Provinsi[[#ALL],[Daerah]:[IDI]],5,0)</f>
        <v>79.47</v>
      </c>
      <c r="I477" s="9">
        <f>(E477 - MIN(KabKota[IPM])) / (MAX(KabKota[IPM]) - MIN(KabKota[IPM])) * 100</f>
        <v>45.50813008</v>
      </c>
      <c r="J477" s="9">
        <f>(F477 - MIN(KabKota[IKF])) / (MAX(KabKota[IKF]) - MIN(KabKota[IKF])) * 100</f>
        <v>10.875</v>
      </c>
      <c r="K477" s="9">
        <f>(G477 - MIN(KabKota[TIK])) / (MAX(KabKota[TIK]) - MIN(KabKota[TIK])) * 100</f>
        <v>41.66666667</v>
      </c>
      <c r="L477" s="9">
        <f>(H477 - MIN(KabKota[IDI])) / (MAX(KabKota[IDI]) - MIN(KabKota[IDI])) * 100</f>
        <v>89.04201681</v>
      </c>
      <c r="M477" s="9">
        <f t="shared" si="1"/>
        <v>46.77295339</v>
      </c>
      <c r="N477" s="11">
        <f>_xlfn.RANK.EQ(M477,KabKota[Rata-rata Skor])</f>
        <v>476</v>
      </c>
      <c r="O477" s="6">
        <f>COUNTIFS(KabKota[Regional], B477, KabKota[Rata-rata Skor], "&gt;"&amp;M477) + 1</f>
        <v>39</v>
      </c>
    </row>
    <row r="478" ht="22.5" customHeight="1">
      <c r="A478" s="5">
        <v>306.0</v>
      </c>
      <c r="B478" s="5" t="s">
        <v>60</v>
      </c>
      <c r="C478" s="5" t="s">
        <v>52</v>
      </c>
      <c r="D478" s="5" t="s">
        <v>542</v>
      </c>
      <c r="E478" s="7">
        <v>67.01</v>
      </c>
      <c r="F478" s="8">
        <v>0.008</v>
      </c>
      <c r="G478" s="7">
        <f>VLOOKUP(C478,Provinsi[[#ALL],[Daerah]:[IDI]],4,0)</f>
        <v>5.36</v>
      </c>
      <c r="H478" s="9">
        <f>VLOOKUP(C478,Provinsi[[#ALL],[Daerah]:[IDI]],5,0)</f>
        <v>79.47</v>
      </c>
      <c r="I478" s="9">
        <f>(E478 - MIN(KabKota[IPM])) / (MAX(KabKota[IPM]) - MIN(KabKota[IPM])) * 100</f>
        <v>54.18699187</v>
      </c>
      <c r="J478" s="9">
        <f>(F478 - MIN(KabKota[IKF])) / (MAX(KabKota[IKF]) - MIN(KabKota[IKF])) * 100</f>
        <v>1</v>
      </c>
      <c r="K478" s="9">
        <f>(G478 - MIN(KabKota[TIK])) / (MAX(KabKota[TIK]) - MIN(KabKota[TIK])) * 100</f>
        <v>41.66666667</v>
      </c>
      <c r="L478" s="9">
        <f>(H478 - MIN(KabKota[IDI])) / (MAX(KabKota[IDI]) - MIN(KabKota[IDI])) * 100</f>
        <v>89.04201681</v>
      </c>
      <c r="M478" s="9">
        <f t="shared" si="1"/>
        <v>46.47391884</v>
      </c>
      <c r="N478" s="11">
        <f>_xlfn.RANK.EQ(M478,KabKota[Rata-rata Skor])</f>
        <v>477</v>
      </c>
      <c r="O478" s="6">
        <f>COUNTIFS(KabKota[Regional], B478, KabKota[Rata-rata Skor], "&gt;"&amp;M478) + 1</f>
        <v>40</v>
      </c>
    </row>
    <row r="479" ht="22.5" customHeight="1">
      <c r="A479" s="5">
        <v>313.0</v>
      </c>
      <c r="B479" s="5" t="s">
        <v>60</v>
      </c>
      <c r="C479" s="5" t="s">
        <v>52</v>
      </c>
      <c r="D479" s="5" t="s">
        <v>543</v>
      </c>
      <c r="E479" s="7">
        <v>65.84</v>
      </c>
      <c r="F479" s="8">
        <v>0.017</v>
      </c>
      <c r="G479" s="7">
        <f>VLOOKUP(C479,Provinsi[[#ALL],[Daerah]:[IDI]],4,0)</f>
        <v>5.36</v>
      </c>
      <c r="H479" s="9">
        <f>VLOOKUP(C479,Provinsi[[#ALL],[Daerah]:[IDI]],5,0)</f>
        <v>79.47</v>
      </c>
      <c r="I479" s="9">
        <f>(E479 - MIN(KabKota[IPM])) / (MAX(KabKota[IPM]) - MIN(KabKota[IPM])) * 100</f>
        <v>51.80894309</v>
      </c>
      <c r="J479" s="9">
        <f>(F479 - MIN(KabKota[IKF])) / (MAX(KabKota[IKF]) - MIN(KabKota[IKF])) * 100</f>
        <v>2.125</v>
      </c>
      <c r="K479" s="9">
        <f>(G479 - MIN(KabKota[TIK])) / (MAX(KabKota[TIK]) - MIN(KabKota[TIK])) * 100</f>
        <v>41.66666667</v>
      </c>
      <c r="L479" s="9">
        <f>(H479 - MIN(KabKota[IDI])) / (MAX(KabKota[IDI]) - MIN(KabKota[IDI])) * 100</f>
        <v>89.04201681</v>
      </c>
      <c r="M479" s="9">
        <f t="shared" si="1"/>
        <v>46.16065664</v>
      </c>
      <c r="N479" s="11">
        <f>_xlfn.RANK.EQ(M479,KabKota[Rata-rata Skor])</f>
        <v>478</v>
      </c>
      <c r="O479" s="6">
        <f>COUNTIFS(KabKota[Regional], B479, KabKota[Rata-rata Skor], "&gt;"&amp;M479) + 1</f>
        <v>41</v>
      </c>
    </row>
    <row r="480" ht="22.5" customHeight="1">
      <c r="A480" s="5">
        <v>470.0</v>
      </c>
      <c r="B480" s="5" t="s">
        <v>180</v>
      </c>
      <c r="C480" s="5" t="s">
        <v>51</v>
      </c>
      <c r="D480" s="5" t="s">
        <v>544</v>
      </c>
      <c r="E480" s="7">
        <v>65.61</v>
      </c>
      <c r="F480" s="8">
        <v>0.055</v>
      </c>
      <c r="G480" s="7">
        <f>VLOOKUP(C480,Provinsi[[#ALL],[Daerah]:[IDI]],4,0)</f>
        <v>5.68</v>
      </c>
      <c r="H480" s="9">
        <f>VLOOKUP(C480,Provinsi[[#ALL],[Daerah]:[IDI]],5,0)</f>
        <v>67.8</v>
      </c>
      <c r="I480" s="9">
        <f>(E480 - MIN(KabKota[IPM])) / (MAX(KabKota[IPM]) - MIN(KabKota[IPM])) * 100</f>
        <v>51.34146341</v>
      </c>
      <c r="J480" s="9">
        <f>(F480 - MIN(KabKota[IKF])) / (MAX(KabKota[IKF]) - MIN(KabKota[IKF])) * 100</f>
        <v>6.875</v>
      </c>
      <c r="K480" s="9">
        <f>(G480 - MIN(KabKota[TIK])) / (MAX(KabKota[TIK]) - MIN(KabKota[TIK])) * 100</f>
        <v>49.07407407</v>
      </c>
      <c r="L480" s="9">
        <f>(H480 - MIN(KabKota[IDI])) / (MAX(KabKota[IDI]) - MIN(KabKota[IDI])) * 100</f>
        <v>75.96638655</v>
      </c>
      <c r="M480" s="9">
        <f t="shared" si="1"/>
        <v>45.81423101</v>
      </c>
      <c r="N480" s="11">
        <f>_xlfn.RANK.EQ(M480,KabKota[Rata-rata Skor])</f>
        <v>479</v>
      </c>
      <c r="O480" s="6">
        <f>COUNTIFS(KabKota[Regional], B480, KabKota[Rata-rata Skor], "&gt;"&amp;M480) + 1</f>
        <v>28</v>
      </c>
    </row>
    <row r="481" ht="22.5" customHeight="1">
      <c r="A481" s="5">
        <v>469.0</v>
      </c>
      <c r="B481" s="5" t="s">
        <v>180</v>
      </c>
      <c r="C481" s="5" t="s">
        <v>51</v>
      </c>
      <c r="D481" s="5" t="s">
        <v>545</v>
      </c>
      <c r="E481" s="7">
        <v>67.86</v>
      </c>
      <c r="F481" s="8">
        <v>0.011</v>
      </c>
      <c r="G481" s="7">
        <f>VLOOKUP(C481,Provinsi[[#ALL],[Daerah]:[IDI]],4,0)</f>
        <v>5.68</v>
      </c>
      <c r="H481" s="9">
        <f>VLOOKUP(C481,Provinsi[[#ALL],[Daerah]:[IDI]],5,0)</f>
        <v>67.8</v>
      </c>
      <c r="I481" s="9">
        <f>(E481 - MIN(KabKota[IPM])) / (MAX(KabKota[IPM]) - MIN(KabKota[IPM])) * 100</f>
        <v>55.91463415</v>
      </c>
      <c r="J481" s="9">
        <f>(F481 - MIN(KabKota[IKF])) / (MAX(KabKota[IKF]) - MIN(KabKota[IKF])) * 100</f>
        <v>1.375</v>
      </c>
      <c r="K481" s="9">
        <f>(G481 - MIN(KabKota[TIK])) / (MAX(KabKota[TIK]) - MIN(KabKota[TIK])) * 100</f>
        <v>49.07407407</v>
      </c>
      <c r="L481" s="9">
        <f>(H481 - MIN(KabKota[IDI])) / (MAX(KabKota[IDI]) - MIN(KabKota[IDI])) * 100</f>
        <v>75.96638655</v>
      </c>
      <c r="M481" s="9">
        <f t="shared" si="1"/>
        <v>45.58252369</v>
      </c>
      <c r="N481" s="11">
        <f>_xlfn.RANK.EQ(M481,KabKota[Rata-rata Skor])</f>
        <v>480</v>
      </c>
      <c r="O481" s="6">
        <f>COUNTIFS(KabKota[Regional], B481, KabKota[Rata-rata Skor], "&gt;"&amp;M481) + 1</f>
        <v>29</v>
      </c>
    </row>
    <row r="482" ht="22.5" customHeight="1">
      <c r="A482" s="5">
        <v>481.0</v>
      </c>
      <c r="B482" s="5" t="s">
        <v>180</v>
      </c>
      <c r="C482" s="5" t="s">
        <v>55</v>
      </c>
      <c r="D482" s="5" t="s">
        <v>546</v>
      </c>
      <c r="E482" s="7">
        <v>82.26</v>
      </c>
      <c r="F482" s="8">
        <v>0.233</v>
      </c>
      <c r="G482" s="7">
        <f>VLOOKUP(C482,Provinsi[[#ALL],[Daerah]:[IDI]],4,0)</f>
        <v>3.56</v>
      </c>
      <c r="H482" s="9">
        <f>VLOOKUP(C482,Provinsi[[#ALL],[Daerah]:[IDI]],5,0)</f>
        <v>56.55</v>
      </c>
      <c r="I482" s="9">
        <f>(E482 - MIN(KabKota[IPM])) / (MAX(KabKota[IPM]) - MIN(KabKota[IPM])) * 100</f>
        <v>85.18292683</v>
      </c>
      <c r="J482" s="9">
        <f>(F482 - MIN(KabKota[IKF])) / (MAX(KabKota[IKF]) - MIN(KabKota[IKF])) * 100</f>
        <v>29.125</v>
      </c>
      <c r="K482" s="9">
        <f>(G482 - MIN(KabKota[TIK])) / (MAX(KabKota[TIK]) - MIN(KabKota[TIK])) * 100</f>
        <v>0</v>
      </c>
      <c r="L482" s="9">
        <f>(H482 - MIN(KabKota[IDI])) / (MAX(KabKota[IDI]) - MIN(KabKota[IDI])) * 100</f>
        <v>63.36134454</v>
      </c>
      <c r="M482" s="9">
        <f t="shared" si="1"/>
        <v>44.41731784</v>
      </c>
      <c r="N482" s="11">
        <f>_xlfn.RANK.EQ(M482,KabKota[Rata-rata Skor])</f>
        <v>481</v>
      </c>
      <c r="O482" s="6">
        <f>COUNTIFS(KabKota[Regional], B482, KabKota[Rata-rata Skor], "&gt;"&amp;M482) + 1</f>
        <v>30</v>
      </c>
    </row>
    <row r="483" ht="22.5" customHeight="1">
      <c r="A483" s="5">
        <v>475.0</v>
      </c>
      <c r="B483" s="5" t="s">
        <v>180</v>
      </c>
      <c r="C483" s="5" t="s">
        <v>55</v>
      </c>
      <c r="D483" s="5" t="s">
        <v>547</v>
      </c>
      <c r="E483" s="7">
        <v>75.48</v>
      </c>
      <c r="F483" s="8">
        <v>0.193</v>
      </c>
      <c r="G483" s="7">
        <f>VLOOKUP(C483,Provinsi[[#ALL],[Daerah]:[IDI]],4,0)</f>
        <v>3.56</v>
      </c>
      <c r="H483" s="9">
        <f>VLOOKUP(C483,Provinsi[[#ALL],[Daerah]:[IDI]],5,0)</f>
        <v>56.55</v>
      </c>
      <c r="I483" s="9">
        <f>(E483 - MIN(KabKota[IPM])) / (MAX(KabKota[IPM]) - MIN(KabKota[IPM])) * 100</f>
        <v>71.40243902</v>
      </c>
      <c r="J483" s="9">
        <f>(F483 - MIN(KabKota[IKF])) / (MAX(KabKota[IKF]) - MIN(KabKota[IKF])) * 100</f>
        <v>24.125</v>
      </c>
      <c r="K483" s="9">
        <f>(G483 - MIN(KabKota[TIK])) / (MAX(KabKota[TIK]) - MIN(KabKota[TIK])) * 100</f>
        <v>0</v>
      </c>
      <c r="L483" s="9">
        <f>(H483 - MIN(KabKota[IDI])) / (MAX(KabKota[IDI]) - MIN(KabKota[IDI])) * 100</f>
        <v>63.36134454</v>
      </c>
      <c r="M483" s="9">
        <f t="shared" si="1"/>
        <v>39.72219589</v>
      </c>
      <c r="N483" s="11">
        <f>_xlfn.RANK.EQ(M483,KabKota[Rata-rata Skor])</f>
        <v>482</v>
      </c>
      <c r="O483" s="6">
        <f>COUNTIFS(KabKota[Regional], B483, KabKota[Rata-rata Skor], "&gt;"&amp;M483) + 1</f>
        <v>31</v>
      </c>
    </row>
    <row r="484" ht="22.5" customHeight="1">
      <c r="A484" s="5">
        <v>473.0</v>
      </c>
      <c r="B484" s="5" t="s">
        <v>180</v>
      </c>
      <c r="C484" s="5" t="s">
        <v>55</v>
      </c>
      <c r="D484" s="5" t="s">
        <v>548</v>
      </c>
      <c r="E484" s="7">
        <v>76.14</v>
      </c>
      <c r="F484" s="8">
        <v>0.11</v>
      </c>
      <c r="G484" s="7">
        <f>VLOOKUP(C484,Provinsi[[#ALL],[Daerah]:[IDI]],4,0)</f>
        <v>3.56</v>
      </c>
      <c r="H484" s="9">
        <f>VLOOKUP(C484,Provinsi[[#ALL],[Daerah]:[IDI]],5,0)</f>
        <v>56.55</v>
      </c>
      <c r="I484" s="9">
        <f>(E484 - MIN(KabKota[IPM])) / (MAX(KabKota[IPM]) - MIN(KabKota[IPM])) * 100</f>
        <v>72.74390244</v>
      </c>
      <c r="J484" s="9">
        <f>(F484 - MIN(KabKota[IKF])) / (MAX(KabKota[IKF]) - MIN(KabKota[IKF])) * 100</f>
        <v>13.75</v>
      </c>
      <c r="K484" s="9">
        <f>(G484 - MIN(KabKota[TIK])) / (MAX(KabKota[TIK]) - MIN(KabKota[TIK])) * 100</f>
        <v>0</v>
      </c>
      <c r="L484" s="9">
        <f>(H484 - MIN(KabKota[IDI])) / (MAX(KabKota[IDI]) - MIN(KabKota[IDI])) * 100</f>
        <v>63.36134454</v>
      </c>
      <c r="M484" s="9">
        <f t="shared" si="1"/>
        <v>37.46381174</v>
      </c>
      <c r="N484" s="11">
        <f>_xlfn.RANK.EQ(M484,KabKota[Rata-rata Skor])</f>
        <v>483</v>
      </c>
      <c r="O484" s="6">
        <f>COUNTIFS(KabKota[Regional], B484, KabKota[Rata-rata Skor], "&gt;"&amp;M484) + 1</f>
        <v>32</v>
      </c>
    </row>
    <row r="485" ht="22.5" customHeight="1">
      <c r="A485" s="5">
        <v>474.0</v>
      </c>
      <c r="B485" s="5" t="s">
        <v>180</v>
      </c>
      <c r="C485" s="5" t="s">
        <v>55</v>
      </c>
      <c r="D485" s="5" t="s">
        <v>549</v>
      </c>
      <c r="E485" s="7">
        <v>70.93</v>
      </c>
      <c r="F485" s="8">
        <v>0.16</v>
      </c>
      <c r="G485" s="7">
        <f>VLOOKUP(C485,Provinsi[[#ALL],[Daerah]:[IDI]],4,0)</f>
        <v>3.56</v>
      </c>
      <c r="H485" s="9">
        <f>VLOOKUP(C485,Provinsi[[#ALL],[Daerah]:[IDI]],5,0)</f>
        <v>56.55</v>
      </c>
      <c r="I485" s="9">
        <f>(E485 - MIN(KabKota[IPM])) / (MAX(KabKota[IPM]) - MIN(KabKota[IPM])) * 100</f>
        <v>62.15447154</v>
      </c>
      <c r="J485" s="9">
        <f>(F485 - MIN(KabKota[IKF])) / (MAX(KabKota[IKF]) - MIN(KabKota[IKF])) * 100</f>
        <v>20</v>
      </c>
      <c r="K485" s="9">
        <f>(G485 - MIN(KabKota[TIK])) / (MAX(KabKota[TIK]) - MIN(KabKota[TIK])) * 100</f>
        <v>0</v>
      </c>
      <c r="L485" s="9">
        <f>(H485 - MIN(KabKota[IDI])) / (MAX(KabKota[IDI]) - MIN(KabKota[IDI])) * 100</f>
        <v>63.36134454</v>
      </c>
      <c r="M485" s="9">
        <f t="shared" si="1"/>
        <v>36.37895402</v>
      </c>
      <c r="N485" s="11">
        <f>_xlfn.RANK.EQ(M485,KabKota[Rata-rata Skor])</f>
        <v>484</v>
      </c>
      <c r="O485" s="6">
        <f>COUNTIFS(KabKota[Regional], B485, KabKota[Rata-rata Skor], "&gt;"&amp;M485) + 1</f>
        <v>33</v>
      </c>
    </row>
    <row r="486" ht="22.5" customHeight="1">
      <c r="A486" s="5">
        <v>480.0</v>
      </c>
      <c r="B486" s="5" t="s">
        <v>180</v>
      </c>
      <c r="C486" s="5" t="s">
        <v>55</v>
      </c>
      <c r="D486" s="5" t="s">
        <v>550</v>
      </c>
      <c r="E486" s="7">
        <v>60.48</v>
      </c>
      <c r="F486" s="8">
        <v>0.302</v>
      </c>
      <c r="G486" s="7">
        <f>VLOOKUP(C486,Provinsi[[#ALL],[Daerah]:[IDI]],4,0)</f>
        <v>3.56</v>
      </c>
      <c r="H486" s="9">
        <f>VLOOKUP(C486,Provinsi[[#ALL],[Daerah]:[IDI]],5,0)</f>
        <v>56.55</v>
      </c>
      <c r="I486" s="9">
        <f>(E486 - MIN(KabKota[IPM])) / (MAX(KabKota[IPM]) - MIN(KabKota[IPM])) * 100</f>
        <v>40.91463415</v>
      </c>
      <c r="J486" s="9">
        <f>(F486 - MIN(KabKota[IKF])) / (MAX(KabKota[IKF]) - MIN(KabKota[IKF])) * 100</f>
        <v>37.75</v>
      </c>
      <c r="K486" s="9">
        <f>(G486 - MIN(KabKota[TIK])) / (MAX(KabKota[TIK]) - MIN(KabKota[TIK])) * 100</f>
        <v>0</v>
      </c>
      <c r="L486" s="9">
        <f>(H486 - MIN(KabKota[IDI])) / (MAX(KabKota[IDI]) - MIN(KabKota[IDI])) * 100</f>
        <v>63.36134454</v>
      </c>
      <c r="M486" s="9">
        <f t="shared" si="1"/>
        <v>35.50649467</v>
      </c>
      <c r="N486" s="11">
        <f>_xlfn.RANK.EQ(M486,KabKota[Rata-rata Skor])</f>
        <v>485</v>
      </c>
      <c r="O486" s="6">
        <f>COUNTIFS(KabKota[Regional], B486, KabKota[Rata-rata Skor], "&gt;"&amp;M486) + 1</f>
        <v>34</v>
      </c>
    </row>
    <row r="487" ht="22.5" customHeight="1">
      <c r="A487" s="5">
        <v>476.0</v>
      </c>
      <c r="B487" s="5" t="s">
        <v>180</v>
      </c>
      <c r="C487" s="5" t="s">
        <v>55</v>
      </c>
      <c r="D487" s="5" t="s">
        <v>551</v>
      </c>
      <c r="E487" s="7">
        <v>68.78</v>
      </c>
      <c r="F487" s="8">
        <v>0.142</v>
      </c>
      <c r="G487" s="7">
        <f>VLOOKUP(C487,Provinsi[[#ALL],[Daerah]:[IDI]],4,0)</f>
        <v>3.56</v>
      </c>
      <c r="H487" s="9">
        <f>VLOOKUP(C487,Provinsi[[#ALL],[Daerah]:[IDI]],5,0)</f>
        <v>56.55</v>
      </c>
      <c r="I487" s="9">
        <f>(E487 - MIN(KabKota[IPM])) / (MAX(KabKota[IPM]) - MIN(KabKota[IPM])) * 100</f>
        <v>57.78455285</v>
      </c>
      <c r="J487" s="9">
        <f>(F487 - MIN(KabKota[IKF])) / (MAX(KabKota[IKF]) - MIN(KabKota[IKF])) * 100</f>
        <v>17.75</v>
      </c>
      <c r="K487" s="9">
        <f>(G487 - MIN(KabKota[TIK])) / (MAX(KabKota[TIK]) - MIN(KabKota[TIK])) * 100</f>
        <v>0</v>
      </c>
      <c r="L487" s="9">
        <f>(H487 - MIN(KabKota[IDI])) / (MAX(KabKota[IDI]) - MIN(KabKota[IDI])) * 100</f>
        <v>63.36134454</v>
      </c>
      <c r="M487" s="9">
        <f t="shared" si="1"/>
        <v>34.72397435</v>
      </c>
      <c r="N487" s="11">
        <f>_xlfn.RANK.EQ(M487,KabKota[Rata-rata Skor])</f>
        <v>486</v>
      </c>
      <c r="O487" s="6">
        <f>COUNTIFS(KabKota[Regional], B487, KabKota[Rata-rata Skor], "&gt;"&amp;M487) + 1</f>
        <v>35</v>
      </c>
    </row>
    <row r="488" ht="22.5" customHeight="1">
      <c r="A488" s="5">
        <v>479.0</v>
      </c>
      <c r="B488" s="5" t="s">
        <v>180</v>
      </c>
      <c r="C488" s="5" t="s">
        <v>55</v>
      </c>
      <c r="D488" s="5" t="s">
        <v>552</v>
      </c>
      <c r="E488" s="7">
        <v>67.3</v>
      </c>
      <c r="F488" s="8">
        <v>0.133</v>
      </c>
      <c r="G488" s="7">
        <f>VLOOKUP(C488,Provinsi[[#ALL],[Daerah]:[IDI]],4,0)</f>
        <v>3.56</v>
      </c>
      <c r="H488" s="9">
        <f>VLOOKUP(C488,Provinsi[[#ALL],[Daerah]:[IDI]],5,0)</f>
        <v>56.55</v>
      </c>
      <c r="I488" s="9">
        <f>(E488 - MIN(KabKota[IPM])) / (MAX(KabKota[IPM]) - MIN(KabKota[IPM])) * 100</f>
        <v>54.77642276</v>
      </c>
      <c r="J488" s="9">
        <f>(F488 - MIN(KabKota[IKF])) / (MAX(KabKota[IKF]) - MIN(KabKota[IKF])) * 100</f>
        <v>16.625</v>
      </c>
      <c r="K488" s="9">
        <f>(G488 - MIN(KabKota[TIK])) / (MAX(KabKota[TIK]) - MIN(KabKota[TIK])) * 100</f>
        <v>0</v>
      </c>
      <c r="L488" s="9">
        <f>(H488 - MIN(KabKota[IDI])) / (MAX(KabKota[IDI]) - MIN(KabKota[IDI])) * 100</f>
        <v>63.36134454</v>
      </c>
      <c r="M488" s="9">
        <f t="shared" si="1"/>
        <v>33.69069183</v>
      </c>
      <c r="N488" s="11">
        <f>_xlfn.RANK.EQ(M488,KabKota[Rata-rata Skor])</f>
        <v>487</v>
      </c>
      <c r="O488" s="6">
        <f>COUNTIFS(KabKota[Regional], B488, KabKota[Rata-rata Skor], "&gt;"&amp;M488) + 1</f>
        <v>36</v>
      </c>
    </row>
    <row r="489" ht="22.5" customHeight="1">
      <c r="A489" s="5">
        <v>477.0</v>
      </c>
      <c r="B489" s="5" t="s">
        <v>180</v>
      </c>
      <c r="C489" s="5" t="s">
        <v>55</v>
      </c>
      <c r="D489" s="5" t="s">
        <v>553</v>
      </c>
      <c r="E489" s="7">
        <v>70.43</v>
      </c>
      <c r="F489" s="8">
        <v>0.063</v>
      </c>
      <c r="G489" s="7">
        <f>VLOOKUP(C489,Provinsi[[#ALL],[Daerah]:[IDI]],4,0)</f>
        <v>3.56</v>
      </c>
      <c r="H489" s="9">
        <f>VLOOKUP(C489,Provinsi[[#ALL],[Daerah]:[IDI]],5,0)</f>
        <v>56.55</v>
      </c>
      <c r="I489" s="9">
        <f>(E489 - MIN(KabKota[IPM])) / (MAX(KabKota[IPM]) - MIN(KabKota[IPM])) * 100</f>
        <v>61.13821138</v>
      </c>
      <c r="J489" s="9">
        <f>(F489 - MIN(KabKota[IKF])) / (MAX(KabKota[IKF]) - MIN(KabKota[IKF])) * 100</f>
        <v>7.875</v>
      </c>
      <c r="K489" s="9">
        <f>(G489 - MIN(KabKota[TIK])) / (MAX(KabKota[TIK]) - MIN(KabKota[TIK])) * 100</f>
        <v>0</v>
      </c>
      <c r="L489" s="9">
        <f>(H489 - MIN(KabKota[IDI])) / (MAX(KabKota[IDI]) - MIN(KabKota[IDI])) * 100</f>
        <v>63.36134454</v>
      </c>
      <c r="M489" s="9">
        <f t="shared" si="1"/>
        <v>33.09363898</v>
      </c>
      <c r="N489" s="11">
        <f>_xlfn.RANK.EQ(M489,KabKota[Rata-rata Skor])</f>
        <v>488</v>
      </c>
      <c r="O489" s="6">
        <f>COUNTIFS(KabKota[Regional], B489, KabKota[Rata-rata Skor], "&gt;"&amp;M489) + 1</f>
        <v>37</v>
      </c>
    </row>
    <row r="490" ht="22.5" customHeight="1">
      <c r="A490" s="5">
        <v>478.0</v>
      </c>
      <c r="B490" s="5" t="s">
        <v>180</v>
      </c>
      <c r="C490" s="5" t="s">
        <v>55</v>
      </c>
      <c r="D490" s="5" t="s">
        <v>554</v>
      </c>
      <c r="E490" s="7">
        <v>68.91</v>
      </c>
      <c r="F490" s="8">
        <v>0.084</v>
      </c>
      <c r="G490" s="7">
        <f>VLOOKUP(C490,Provinsi[[#ALL],[Daerah]:[IDI]],4,0)</f>
        <v>3.56</v>
      </c>
      <c r="H490" s="9">
        <f>VLOOKUP(C490,Provinsi[[#ALL],[Daerah]:[IDI]],5,0)</f>
        <v>56.55</v>
      </c>
      <c r="I490" s="9">
        <f>(E490 - MIN(KabKota[IPM])) / (MAX(KabKota[IPM]) - MIN(KabKota[IPM])) * 100</f>
        <v>58.04878049</v>
      </c>
      <c r="J490" s="9">
        <f>(F490 - MIN(KabKota[IKF])) / (MAX(KabKota[IKF]) - MIN(KabKota[IKF])) * 100</f>
        <v>10.5</v>
      </c>
      <c r="K490" s="9">
        <f>(G490 - MIN(KabKota[TIK])) / (MAX(KabKota[TIK]) - MIN(KabKota[TIK])) * 100</f>
        <v>0</v>
      </c>
      <c r="L490" s="9">
        <f>(H490 - MIN(KabKota[IDI])) / (MAX(KabKota[IDI]) - MIN(KabKota[IDI])) * 100</f>
        <v>63.36134454</v>
      </c>
      <c r="M490" s="9">
        <f t="shared" si="1"/>
        <v>32.97753126</v>
      </c>
      <c r="N490" s="11">
        <f>_xlfn.RANK.EQ(M490,KabKota[Rata-rata Skor])</f>
        <v>489</v>
      </c>
      <c r="O490" s="6">
        <f>COUNTIFS(KabKota[Regional], B490, KabKota[Rata-rata Skor], "&gt;"&amp;M490) + 1</f>
        <v>38</v>
      </c>
    </row>
    <row r="491" ht="22.5" customHeight="1">
      <c r="A491" s="5">
        <v>511.0</v>
      </c>
      <c r="B491" s="5" t="s">
        <v>180</v>
      </c>
      <c r="C491" s="5" t="s">
        <v>54</v>
      </c>
      <c r="D491" s="5" t="s">
        <v>555</v>
      </c>
      <c r="E491" s="7">
        <v>67.36</v>
      </c>
      <c r="F491" s="8">
        <v>0.23</v>
      </c>
      <c r="G491" s="7">
        <f>VLOOKUP(C491,Provinsi[[#ALL],[Daerah]:[IDI]],4,0)</f>
        <v>5.61</v>
      </c>
      <c r="H491" s="9">
        <f>VLOOKUP(C491,Provinsi[[#ALL],[Daerah]:[IDI]],5,0)</f>
        <v>0</v>
      </c>
      <c r="I491" s="9">
        <f>(E491 - MIN(KabKota[IPM])) / (MAX(KabKota[IPM]) - MIN(KabKota[IPM])) * 100</f>
        <v>54.89837398</v>
      </c>
      <c r="J491" s="9">
        <f>(F491 - MIN(KabKota[IKF])) / (MAX(KabKota[IKF]) - MIN(KabKota[IKF])) * 100</f>
        <v>28.75</v>
      </c>
      <c r="K491" s="9">
        <f>(G491 - MIN(KabKota[TIK])) / (MAX(KabKota[TIK]) - MIN(KabKota[TIK])) * 100</f>
        <v>47.4537037</v>
      </c>
      <c r="L491" s="9">
        <f>(H491 - MIN(KabKota[IDI])) / (MAX(KabKota[IDI]) - MIN(KabKota[IDI])) * 100</f>
        <v>0</v>
      </c>
      <c r="M491" s="9">
        <f t="shared" si="1"/>
        <v>32.77551942</v>
      </c>
      <c r="N491" s="11">
        <f>_xlfn.RANK.EQ(M491,KabKota[Rata-rata Skor])</f>
        <v>490</v>
      </c>
      <c r="O491" s="6">
        <f>COUNTIFS(KabKota[Regional], B491, KabKota[Rata-rata Skor], "&gt;"&amp;M491) + 1</f>
        <v>39</v>
      </c>
    </row>
    <row r="492" ht="22.5" customHeight="1">
      <c r="A492" s="5">
        <v>509.0</v>
      </c>
      <c r="B492" s="5" t="s">
        <v>180</v>
      </c>
      <c r="C492" s="5" t="s">
        <v>54</v>
      </c>
      <c r="D492" s="5" t="s">
        <v>556</v>
      </c>
      <c r="E492" s="7">
        <v>70.6</v>
      </c>
      <c r="F492" s="8">
        <v>0.124</v>
      </c>
      <c r="G492" s="7">
        <f>VLOOKUP(C492,Provinsi[[#ALL],[Daerah]:[IDI]],4,0)</f>
        <v>5.61</v>
      </c>
      <c r="H492" s="9">
        <f>VLOOKUP(C492,Provinsi[[#ALL],[Daerah]:[IDI]],5,0)</f>
        <v>0</v>
      </c>
      <c r="I492" s="9">
        <f>(E492 - MIN(KabKota[IPM])) / (MAX(KabKota[IPM]) - MIN(KabKota[IPM])) * 100</f>
        <v>61.48373984</v>
      </c>
      <c r="J492" s="9">
        <f>(F492 - MIN(KabKota[IKF])) / (MAX(KabKota[IKF]) - MIN(KabKota[IKF])) * 100</f>
        <v>15.5</v>
      </c>
      <c r="K492" s="9">
        <f>(G492 - MIN(KabKota[TIK])) / (MAX(KabKota[TIK]) - MIN(KabKota[TIK])) * 100</f>
        <v>47.4537037</v>
      </c>
      <c r="L492" s="9">
        <f>(H492 - MIN(KabKota[IDI])) / (MAX(KabKota[IDI]) - MIN(KabKota[IDI])) * 100</f>
        <v>0</v>
      </c>
      <c r="M492" s="9">
        <f t="shared" si="1"/>
        <v>31.10936089</v>
      </c>
      <c r="N492" s="11">
        <f>_xlfn.RANK.EQ(M492,KabKota[Rata-rata Skor])</f>
        <v>491</v>
      </c>
      <c r="O492" s="6">
        <f>COUNTIFS(KabKota[Regional], B492, KabKota[Rata-rata Skor], "&gt;"&amp;M492) + 1</f>
        <v>40</v>
      </c>
    </row>
    <row r="493" ht="22.5" customHeight="1">
      <c r="A493" s="5">
        <v>510.0</v>
      </c>
      <c r="B493" s="5" t="s">
        <v>180</v>
      </c>
      <c r="C493" s="5" t="s">
        <v>54</v>
      </c>
      <c r="D493" s="5" t="s">
        <v>557</v>
      </c>
      <c r="E493" s="7">
        <v>65.45</v>
      </c>
      <c r="F493" s="8">
        <v>0.113</v>
      </c>
      <c r="G493" s="7">
        <f>VLOOKUP(C493,Provinsi[[#ALL],[Daerah]:[IDI]],4,0)</f>
        <v>5.61</v>
      </c>
      <c r="H493" s="9">
        <f>VLOOKUP(C493,Provinsi[[#ALL],[Daerah]:[IDI]],5,0)</f>
        <v>0</v>
      </c>
      <c r="I493" s="9">
        <f>(E493 - MIN(KabKota[IPM])) / (MAX(KabKota[IPM]) - MIN(KabKota[IPM])) * 100</f>
        <v>51.01626016</v>
      </c>
      <c r="J493" s="9">
        <f>(F493 - MIN(KabKota[IKF])) / (MAX(KabKota[IKF]) - MIN(KabKota[IKF])) * 100</f>
        <v>14.125</v>
      </c>
      <c r="K493" s="9">
        <f>(G493 - MIN(KabKota[TIK])) / (MAX(KabKota[TIK]) - MIN(KabKota[TIK])) * 100</f>
        <v>47.4537037</v>
      </c>
      <c r="L493" s="9">
        <f>(H493 - MIN(KabKota[IDI])) / (MAX(KabKota[IDI]) - MIN(KabKota[IDI])) * 100</f>
        <v>0</v>
      </c>
      <c r="M493" s="9">
        <f t="shared" si="1"/>
        <v>28.14874097</v>
      </c>
      <c r="N493" s="11">
        <f>_xlfn.RANK.EQ(M493,KabKota[Rata-rata Skor])</f>
        <v>492</v>
      </c>
      <c r="O493" s="6">
        <f>COUNTIFS(KabKota[Regional], B493, KabKota[Rata-rata Skor], "&gt;"&amp;M493) + 1</f>
        <v>41</v>
      </c>
    </row>
    <row r="494" ht="22.5" customHeight="1">
      <c r="A494" s="5">
        <v>493.0</v>
      </c>
      <c r="B494" s="5" t="s">
        <v>180</v>
      </c>
      <c r="C494" s="5" t="s">
        <v>53</v>
      </c>
      <c r="D494" s="5" t="s">
        <v>558</v>
      </c>
      <c r="E494" s="7">
        <v>72.89</v>
      </c>
      <c r="F494" s="8">
        <v>0.335</v>
      </c>
      <c r="G494" s="7">
        <f>VLOOKUP(C494,Provinsi[[#ALL],[Daerah]:[IDI]],4,0)</f>
        <v>3.56</v>
      </c>
      <c r="H494" s="9">
        <f>VLOOKUP(C494,Provinsi[[#ALL],[Daerah]:[IDI]],5,0)</f>
        <v>0</v>
      </c>
      <c r="I494" s="9">
        <f>(E494 - MIN(KabKota[IPM])) / (MAX(KabKota[IPM]) - MIN(KabKota[IPM])) * 100</f>
        <v>66.13821138</v>
      </c>
      <c r="J494" s="9">
        <f>(F494 - MIN(KabKota[IKF])) / (MAX(KabKota[IKF]) - MIN(KabKota[IKF])) * 100</f>
        <v>41.875</v>
      </c>
      <c r="K494" s="9">
        <f>(G494 - MIN(KabKota[TIK])) / (MAX(KabKota[TIK]) - MIN(KabKota[TIK])) * 100</f>
        <v>0</v>
      </c>
      <c r="L494" s="9">
        <f>(H494 - MIN(KabKota[IDI])) / (MAX(KabKota[IDI]) - MIN(KabKota[IDI])) * 100</f>
        <v>0</v>
      </c>
      <c r="M494" s="9">
        <f t="shared" si="1"/>
        <v>27.00330285</v>
      </c>
      <c r="N494" s="11">
        <f>_xlfn.RANK.EQ(M494,KabKota[Rata-rata Skor])</f>
        <v>493</v>
      </c>
      <c r="O494" s="6">
        <f>COUNTIFS(KabKota[Regional], B494, KabKota[Rata-rata Skor], "&gt;"&amp;M494) + 1</f>
        <v>42</v>
      </c>
    </row>
    <row r="495" ht="22.5" customHeight="1">
      <c r="A495" s="5">
        <v>496.0</v>
      </c>
      <c r="B495" s="5" t="s">
        <v>180</v>
      </c>
      <c r="C495" s="5" t="s">
        <v>53</v>
      </c>
      <c r="D495" s="5" t="s">
        <v>559</v>
      </c>
      <c r="E495" s="7">
        <v>77.27</v>
      </c>
      <c r="F495" s="8">
        <v>0.262</v>
      </c>
      <c r="G495" s="7">
        <f>VLOOKUP(C495,Provinsi[[#ALL],[Daerah]:[IDI]],4,0)</f>
        <v>3.56</v>
      </c>
      <c r="H495" s="9">
        <f>VLOOKUP(C495,Provinsi[[#ALL],[Daerah]:[IDI]],5,0)</f>
        <v>0</v>
      </c>
      <c r="I495" s="9">
        <f>(E495 - MIN(KabKota[IPM])) / (MAX(KabKota[IPM]) - MIN(KabKota[IPM])) * 100</f>
        <v>75.04065041</v>
      </c>
      <c r="J495" s="9">
        <f>(F495 - MIN(KabKota[IKF])) / (MAX(KabKota[IKF]) - MIN(KabKota[IKF])) * 100</f>
        <v>32.75</v>
      </c>
      <c r="K495" s="9">
        <f>(G495 - MIN(KabKota[TIK])) / (MAX(KabKota[TIK]) - MIN(KabKota[TIK])) * 100</f>
        <v>0</v>
      </c>
      <c r="L495" s="9">
        <f>(H495 - MIN(KabKota[IDI])) / (MAX(KabKota[IDI]) - MIN(KabKota[IDI])) * 100</f>
        <v>0</v>
      </c>
      <c r="M495" s="9">
        <f t="shared" si="1"/>
        <v>26.9476626</v>
      </c>
      <c r="N495" s="11">
        <f>_xlfn.RANK.EQ(M495,KabKota[Rata-rata Skor])</f>
        <v>494</v>
      </c>
      <c r="O495" s="6">
        <f>COUNTIFS(KabKota[Regional], B495, KabKota[Rata-rata Skor], "&gt;"&amp;M495) + 1</f>
        <v>43</v>
      </c>
    </row>
    <row r="496" ht="22.5" customHeight="1">
      <c r="A496" s="5">
        <v>513.0</v>
      </c>
      <c r="B496" s="5" t="s">
        <v>180</v>
      </c>
      <c r="C496" s="5" t="s">
        <v>54</v>
      </c>
      <c r="D496" s="5" t="s">
        <v>560</v>
      </c>
      <c r="E496" s="7">
        <v>62.68</v>
      </c>
      <c r="F496" s="8">
        <v>0.118</v>
      </c>
      <c r="G496" s="7">
        <f>VLOOKUP(C496,Provinsi[[#ALL],[Daerah]:[IDI]],4,0)</f>
        <v>5.61</v>
      </c>
      <c r="H496" s="9">
        <f>VLOOKUP(C496,Provinsi[[#ALL],[Daerah]:[IDI]],5,0)</f>
        <v>0</v>
      </c>
      <c r="I496" s="9">
        <f>(E496 - MIN(KabKota[IPM])) / (MAX(KabKota[IPM]) - MIN(KabKota[IPM])) * 100</f>
        <v>45.38617886</v>
      </c>
      <c r="J496" s="9">
        <f>(F496 - MIN(KabKota[IKF])) / (MAX(KabKota[IKF]) - MIN(KabKota[IKF])) * 100</f>
        <v>14.75</v>
      </c>
      <c r="K496" s="9">
        <f>(G496 - MIN(KabKota[TIK])) / (MAX(KabKota[TIK]) - MIN(KabKota[TIK])) * 100</f>
        <v>47.4537037</v>
      </c>
      <c r="L496" s="9">
        <f>(H496 - MIN(KabKota[IDI])) / (MAX(KabKota[IDI]) - MIN(KabKota[IDI])) * 100</f>
        <v>0</v>
      </c>
      <c r="M496" s="9">
        <f t="shared" si="1"/>
        <v>26.89747064</v>
      </c>
      <c r="N496" s="11">
        <f>_xlfn.RANK.EQ(M496,KabKota[Rata-rata Skor])</f>
        <v>495</v>
      </c>
      <c r="O496" s="6">
        <f>COUNTIFS(KabKota[Regional], B496, KabKota[Rata-rata Skor], "&gt;"&amp;M496) + 1</f>
        <v>44</v>
      </c>
    </row>
    <row r="497" ht="22.5" customHeight="1">
      <c r="A497" s="5">
        <v>512.0</v>
      </c>
      <c r="B497" s="5" t="s">
        <v>180</v>
      </c>
      <c r="C497" s="5" t="s">
        <v>54</v>
      </c>
      <c r="D497" s="5" t="s">
        <v>561</v>
      </c>
      <c r="E497" s="7">
        <v>59.28</v>
      </c>
      <c r="F497" s="8">
        <v>0.126</v>
      </c>
      <c r="G497" s="7">
        <f>VLOOKUP(C497,Provinsi[[#ALL],[Daerah]:[IDI]],4,0)</f>
        <v>5.61</v>
      </c>
      <c r="H497" s="9">
        <f>VLOOKUP(C497,Provinsi[[#ALL],[Daerah]:[IDI]],5,0)</f>
        <v>0</v>
      </c>
      <c r="I497" s="9">
        <f>(E497 - MIN(KabKota[IPM])) / (MAX(KabKota[IPM]) - MIN(KabKota[IPM])) * 100</f>
        <v>38.47560976</v>
      </c>
      <c r="J497" s="9">
        <f>(F497 - MIN(KabKota[IKF])) / (MAX(KabKota[IKF]) - MIN(KabKota[IKF])) * 100</f>
        <v>15.75</v>
      </c>
      <c r="K497" s="9">
        <f>(G497 - MIN(KabKota[TIK])) / (MAX(KabKota[TIK]) - MIN(KabKota[TIK])) * 100</f>
        <v>47.4537037</v>
      </c>
      <c r="L497" s="9">
        <f>(H497 - MIN(KabKota[IDI])) / (MAX(KabKota[IDI]) - MIN(KabKota[IDI])) * 100</f>
        <v>0</v>
      </c>
      <c r="M497" s="9">
        <f t="shared" si="1"/>
        <v>25.41982836</v>
      </c>
      <c r="N497" s="11">
        <f>_xlfn.RANK.EQ(M497,KabKota[Rata-rata Skor])</f>
        <v>496</v>
      </c>
      <c r="O497" s="6">
        <f>COUNTIFS(KabKota[Regional], B497, KabKota[Rata-rata Skor], "&gt;"&amp;M497) + 1</f>
        <v>45</v>
      </c>
    </row>
    <row r="498" ht="22.5" customHeight="1">
      <c r="A498" s="5">
        <v>500.0</v>
      </c>
      <c r="B498" s="5" t="s">
        <v>180</v>
      </c>
      <c r="C498" s="5" t="s">
        <v>53</v>
      </c>
      <c r="D498" s="5" t="s">
        <v>562</v>
      </c>
      <c r="E498" s="7">
        <v>52.81</v>
      </c>
      <c r="F498" s="8">
        <v>0.578</v>
      </c>
      <c r="G498" s="7">
        <f>VLOOKUP(C498,Provinsi[[#ALL],[Daerah]:[IDI]],4,0)</f>
        <v>3.56</v>
      </c>
      <c r="H498" s="9">
        <f>VLOOKUP(C498,Provinsi[[#ALL],[Daerah]:[IDI]],5,0)</f>
        <v>0</v>
      </c>
      <c r="I498" s="9">
        <f>(E498 - MIN(KabKota[IPM])) / (MAX(KabKota[IPM]) - MIN(KabKota[IPM])) * 100</f>
        <v>25.32520325</v>
      </c>
      <c r="J498" s="9">
        <f>(F498 - MIN(KabKota[IKF])) / (MAX(KabKota[IKF]) - MIN(KabKota[IKF])) * 100</f>
        <v>72.25</v>
      </c>
      <c r="K498" s="9">
        <f>(G498 - MIN(KabKota[TIK])) / (MAX(KabKota[TIK]) - MIN(KabKota[TIK])) * 100</f>
        <v>0</v>
      </c>
      <c r="L498" s="9">
        <f>(H498 - MIN(KabKota[IDI])) / (MAX(KabKota[IDI]) - MIN(KabKota[IDI])) * 100</f>
        <v>0</v>
      </c>
      <c r="M498" s="9">
        <f t="shared" si="1"/>
        <v>24.39380081</v>
      </c>
      <c r="N498" s="11">
        <f>_xlfn.RANK.EQ(M498,KabKota[Rata-rata Skor])</f>
        <v>497</v>
      </c>
      <c r="O498" s="6">
        <f>COUNTIFS(KabKota[Regional], B498, KabKota[Rata-rata Skor], "&gt;"&amp;M498) + 1</f>
        <v>46</v>
      </c>
    </row>
    <row r="499" ht="22.5" customHeight="1">
      <c r="A499" s="5">
        <v>489.0</v>
      </c>
      <c r="B499" s="5" t="s">
        <v>180</v>
      </c>
      <c r="C499" s="5" t="s">
        <v>56</v>
      </c>
      <c r="D499" s="5" t="s">
        <v>563</v>
      </c>
      <c r="E499" s="7">
        <v>75.11</v>
      </c>
      <c r="F499" s="8">
        <v>0.19</v>
      </c>
      <c r="G499" s="7">
        <f>VLOOKUP(C499,Provinsi[[#ALL],[Daerah]:[IDI]],4,0)</f>
        <v>3.56</v>
      </c>
      <c r="H499" s="9">
        <f>VLOOKUP(C499,Provinsi[[#ALL],[Daerah]:[IDI]],5,0)</f>
        <v>0</v>
      </c>
      <c r="I499" s="9">
        <f>(E499 - MIN(KabKota[IPM])) / (MAX(KabKota[IPM]) - MIN(KabKota[IPM])) * 100</f>
        <v>70.6504065</v>
      </c>
      <c r="J499" s="9">
        <f>(F499 - MIN(KabKota[IKF])) / (MAX(KabKota[IKF]) - MIN(KabKota[IKF])) * 100</f>
        <v>23.75</v>
      </c>
      <c r="K499" s="9">
        <f>(G499 - MIN(KabKota[TIK])) / (MAX(KabKota[TIK]) - MIN(KabKota[TIK])) * 100</f>
        <v>0</v>
      </c>
      <c r="L499" s="9">
        <f>(H499 - MIN(KabKota[IDI])) / (MAX(KabKota[IDI]) - MIN(KabKota[IDI])) * 100</f>
        <v>0</v>
      </c>
      <c r="M499" s="9">
        <f t="shared" si="1"/>
        <v>23.60010163</v>
      </c>
      <c r="N499" s="11">
        <f>_xlfn.RANK.EQ(M499,KabKota[Rata-rata Skor])</f>
        <v>498</v>
      </c>
      <c r="O499" s="6">
        <f>COUNTIFS(KabKota[Regional], B499, KabKota[Rata-rata Skor], "&gt;"&amp;M499) + 1</f>
        <v>47</v>
      </c>
    </row>
    <row r="500" ht="22.5" customHeight="1">
      <c r="A500" s="5">
        <v>505.0</v>
      </c>
      <c r="B500" s="5" t="s">
        <v>180</v>
      </c>
      <c r="C500" s="5" t="s">
        <v>57</v>
      </c>
      <c r="D500" s="5" t="s">
        <v>564</v>
      </c>
      <c r="E500" s="7">
        <v>53.36</v>
      </c>
      <c r="F500" s="8">
        <v>0.529</v>
      </c>
      <c r="G500" s="7">
        <f>VLOOKUP(C500,Provinsi[[#ALL],[Daerah]:[IDI]],4,0)</f>
        <v>3.56</v>
      </c>
      <c r="H500" s="9">
        <f>VLOOKUP(C500,Provinsi[[#ALL],[Daerah]:[IDI]],5,0)</f>
        <v>0</v>
      </c>
      <c r="I500" s="9">
        <f>(E500 - MIN(KabKota[IPM])) / (MAX(KabKota[IPM]) - MIN(KabKota[IPM])) * 100</f>
        <v>26.44308943</v>
      </c>
      <c r="J500" s="9">
        <f>(F500 - MIN(KabKota[IKF])) / (MAX(KabKota[IKF]) - MIN(KabKota[IKF])) * 100</f>
        <v>66.125</v>
      </c>
      <c r="K500" s="9">
        <f>(G500 - MIN(KabKota[TIK])) / (MAX(KabKota[TIK]) - MIN(KabKota[TIK])) * 100</f>
        <v>0</v>
      </c>
      <c r="L500" s="9">
        <f>(H500 - MIN(KabKota[IDI])) / (MAX(KabKota[IDI]) - MIN(KabKota[IDI])) * 100</f>
        <v>0</v>
      </c>
      <c r="M500" s="9">
        <f t="shared" si="1"/>
        <v>23.14202236</v>
      </c>
      <c r="N500" s="11">
        <f>_xlfn.RANK.EQ(M500,KabKota[Rata-rata Skor])</f>
        <v>499</v>
      </c>
      <c r="O500" s="6">
        <f>COUNTIFS(KabKota[Regional], B500, KabKota[Rata-rata Skor], "&gt;"&amp;M500) + 1</f>
        <v>48</v>
      </c>
    </row>
    <row r="501" ht="22.5" customHeight="1">
      <c r="A501" s="5">
        <v>495.0</v>
      </c>
      <c r="B501" s="5" t="s">
        <v>180</v>
      </c>
      <c r="C501" s="5" t="s">
        <v>53</v>
      </c>
      <c r="D501" s="5" t="s">
        <v>565</v>
      </c>
      <c r="E501" s="7">
        <v>60.04</v>
      </c>
      <c r="F501" s="8">
        <v>0.417</v>
      </c>
      <c r="G501" s="7">
        <f>VLOOKUP(C501,Provinsi[[#ALL],[Daerah]:[IDI]],4,0)</f>
        <v>3.56</v>
      </c>
      <c r="H501" s="9">
        <f>VLOOKUP(C501,Provinsi[[#ALL],[Daerah]:[IDI]],5,0)</f>
        <v>0</v>
      </c>
      <c r="I501" s="9">
        <f>(E501 - MIN(KabKota[IPM])) / (MAX(KabKota[IPM]) - MIN(KabKota[IPM])) * 100</f>
        <v>40.0203252</v>
      </c>
      <c r="J501" s="9">
        <f>(F501 - MIN(KabKota[IKF])) / (MAX(KabKota[IKF]) - MIN(KabKota[IKF])) * 100</f>
        <v>52.125</v>
      </c>
      <c r="K501" s="9">
        <f>(G501 - MIN(KabKota[TIK])) / (MAX(KabKota[TIK]) - MIN(KabKota[TIK])) * 100</f>
        <v>0</v>
      </c>
      <c r="L501" s="9">
        <f>(H501 - MIN(KabKota[IDI])) / (MAX(KabKota[IDI]) - MIN(KabKota[IDI])) * 100</f>
        <v>0</v>
      </c>
      <c r="M501" s="9">
        <f t="shared" si="1"/>
        <v>23.0363313</v>
      </c>
      <c r="N501" s="11">
        <f>_xlfn.RANK.EQ(M501,KabKota[Rata-rata Skor])</f>
        <v>500</v>
      </c>
      <c r="O501" s="6">
        <f>COUNTIFS(KabKota[Regional], B501, KabKota[Rata-rata Skor], "&gt;"&amp;M501) + 1</f>
        <v>49</v>
      </c>
    </row>
    <row r="502" ht="22.5" customHeight="1">
      <c r="A502" s="5">
        <v>499.0</v>
      </c>
      <c r="B502" s="5" t="s">
        <v>180</v>
      </c>
      <c r="C502" s="5" t="s">
        <v>53</v>
      </c>
      <c r="D502" s="5" t="s">
        <v>566</v>
      </c>
      <c r="E502" s="7">
        <v>51.56</v>
      </c>
      <c r="F502" s="8">
        <v>0.534</v>
      </c>
      <c r="G502" s="7">
        <f>VLOOKUP(C502,Provinsi[[#ALL],[Daerah]:[IDI]],4,0)</f>
        <v>3.56</v>
      </c>
      <c r="H502" s="9">
        <f>VLOOKUP(C502,Provinsi[[#ALL],[Daerah]:[IDI]],5,0)</f>
        <v>0</v>
      </c>
      <c r="I502" s="9">
        <f>(E502 - MIN(KabKota[IPM])) / (MAX(KabKota[IPM]) - MIN(KabKota[IPM])) * 100</f>
        <v>22.78455285</v>
      </c>
      <c r="J502" s="9">
        <f>(F502 - MIN(KabKota[IKF])) / (MAX(KabKota[IKF]) - MIN(KabKota[IKF])) * 100</f>
        <v>66.75</v>
      </c>
      <c r="K502" s="9">
        <f>(G502 - MIN(KabKota[TIK])) / (MAX(KabKota[TIK]) - MIN(KabKota[TIK])) * 100</f>
        <v>0</v>
      </c>
      <c r="L502" s="9">
        <f>(H502 - MIN(KabKota[IDI])) / (MAX(KabKota[IDI]) - MIN(KabKota[IDI])) * 100</f>
        <v>0</v>
      </c>
      <c r="M502" s="9">
        <f t="shared" si="1"/>
        <v>22.38363821</v>
      </c>
      <c r="N502" s="11">
        <f>_xlfn.RANK.EQ(M502,KabKota[Rata-rata Skor])</f>
        <v>501</v>
      </c>
      <c r="O502" s="6">
        <f>COUNTIFS(KabKota[Regional], B502, KabKota[Rata-rata Skor], "&gt;"&amp;M502) + 1</f>
        <v>50</v>
      </c>
    </row>
    <row r="503" ht="22.5" customHeight="1">
      <c r="A503" s="5">
        <v>501.0</v>
      </c>
      <c r="B503" s="5" t="s">
        <v>180</v>
      </c>
      <c r="C503" s="5" t="s">
        <v>57</v>
      </c>
      <c r="D503" s="5" t="s">
        <v>567</v>
      </c>
      <c r="E503" s="7">
        <v>66.02</v>
      </c>
      <c r="F503" s="8">
        <v>0.246</v>
      </c>
      <c r="G503" s="7">
        <f>VLOOKUP(C503,Provinsi[[#ALL],[Daerah]:[IDI]],4,0)</f>
        <v>3.56</v>
      </c>
      <c r="H503" s="9">
        <f>VLOOKUP(C503,Provinsi[[#ALL],[Daerah]:[IDI]],5,0)</f>
        <v>0</v>
      </c>
      <c r="I503" s="9">
        <f>(E503 - MIN(KabKota[IPM])) / (MAX(KabKota[IPM]) - MIN(KabKota[IPM])) * 100</f>
        <v>52.17479675</v>
      </c>
      <c r="J503" s="9">
        <f>(F503 - MIN(KabKota[IKF])) / (MAX(KabKota[IKF]) - MIN(KabKota[IKF])) * 100</f>
        <v>30.75</v>
      </c>
      <c r="K503" s="9">
        <f>(G503 - MIN(KabKota[TIK])) / (MAX(KabKota[TIK]) - MIN(KabKota[TIK])) * 100</f>
        <v>0</v>
      </c>
      <c r="L503" s="9">
        <f>(H503 - MIN(KabKota[IDI])) / (MAX(KabKota[IDI]) - MIN(KabKota[IDI])) * 100</f>
        <v>0</v>
      </c>
      <c r="M503" s="9">
        <f t="shared" si="1"/>
        <v>20.73119919</v>
      </c>
      <c r="N503" s="11">
        <f>_xlfn.RANK.EQ(M503,KabKota[Rata-rata Skor])</f>
        <v>502</v>
      </c>
      <c r="O503" s="6">
        <f>COUNTIFS(KabKota[Regional], B503, KabKota[Rata-rata Skor], "&gt;"&amp;M503) + 1</f>
        <v>51</v>
      </c>
    </row>
    <row r="504" ht="22.5" customHeight="1">
      <c r="A504" s="5">
        <v>492.0</v>
      </c>
      <c r="B504" s="5" t="s">
        <v>180</v>
      </c>
      <c r="C504" s="5" t="s">
        <v>56</v>
      </c>
      <c r="D504" s="5" t="s">
        <v>568</v>
      </c>
      <c r="E504" s="7">
        <v>58.55</v>
      </c>
      <c r="F504" s="8">
        <v>0.319</v>
      </c>
      <c r="G504" s="7">
        <f>VLOOKUP(C504,Provinsi[[#ALL],[Daerah]:[IDI]],4,0)</f>
        <v>3.56</v>
      </c>
      <c r="H504" s="9">
        <f>VLOOKUP(C504,Provinsi[[#ALL],[Daerah]:[IDI]],5,0)</f>
        <v>0</v>
      </c>
      <c r="I504" s="9">
        <f>(E504 - MIN(KabKota[IPM])) / (MAX(KabKota[IPM]) - MIN(KabKota[IPM])) * 100</f>
        <v>36.99186992</v>
      </c>
      <c r="J504" s="9">
        <f>(F504 - MIN(KabKota[IKF])) / (MAX(KabKota[IKF]) - MIN(KabKota[IKF])) * 100</f>
        <v>39.875</v>
      </c>
      <c r="K504" s="9">
        <f>(G504 - MIN(KabKota[TIK])) / (MAX(KabKota[TIK]) - MIN(KabKota[TIK])) * 100</f>
        <v>0</v>
      </c>
      <c r="L504" s="9">
        <f>(H504 - MIN(KabKota[IDI])) / (MAX(KabKota[IDI]) - MIN(KabKota[IDI])) * 100</f>
        <v>0</v>
      </c>
      <c r="M504" s="9">
        <f t="shared" si="1"/>
        <v>19.21671748</v>
      </c>
      <c r="N504" s="11">
        <f>_xlfn.RANK.EQ(M504,KabKota[Rata-rata Skor])</f>
        <v>503</v>
      </c>
      <c r="O504" s="6">
        <f>COUNTIFS(KabKota[Regional], B504, KabKota[Rata-rata Skor], "&gt;"&amp;M504) + 1</f>
        <v>52</v>
      </c>
    </row>
    <row r="505" ht="22.5" customHeight="1">
      <c r="A505" s="5">
        <v>490.0</v>
      </c>
      <c r="B505" s="5" t="s">
        <v>180</v>
      </c>
      <c r="C505" s="5" t="s">
        <v>56</v>
      </c>
      <c r="D505" s="5" t="s">
        <v>569</v>
      </c>
      <c r="E505" s="7">
        <v>68.62</v>
      </c>
      <c r="F505" s="8">
        <v>0.142</v>
      </c>
      <c r="G505" s="7">
        <f>VLOOKUP(C505,Provinsi[[#ALL],[Daerah]:[IDI]],4,0)</f>
        <v>3.56</v>
      </c>
      <c r="H505" s="9">
        <f>VLOOKUP(C505,Provinsi[[#ALL],[Daerah]:[IDI]],5,0)</f>
        <v>0</v>
      </c>
      <c r="I505" s="9">
        <f>(E505 - MIN(KabKota[IPM])) / (MAX(KabKota[IPM]) - MIN(KabKota[IPM])) * 100</f>
        <v>57.45934959</v>
      </c>
      <c r="J505" s="9">
        <f>(F505 - MIN(KabKota[IKF])) / (MAX(KabKota[IKF]) - MIN(KabKota[IKF])) * 100</f>
        <v>17.75</v>
      </c>
      <c r="K505" s="9">
        <f>(G505 - MIN(KabKota[TIK])) / (MAX(KabKota[TIK]) - MIN(KabKota[TIK])) * 100</f>
        <v>0</v>
      </c>
      <c r="L505" s="9">
        <f>(H505 - MIN(KabKota[IDI])) / (MAX(KabKota[IDI]) - MIN(KabKota[IDI])) * 100</f>
        <v>0</v>
      </c>
      <c r="M505" s="9">
        <f t="shared" si="1"/>
        <v>18.8023374</v>
      </c>
      <c r="N505" s="11">
        <f>_xlfn.RANK.EQ(M505,KabKota[Rata-rata Skor])</f>
        <v>504</v>
      </c>
      <c r="O505" s="6">
        <f>COUNTIFS(KabKota[Regional], B505, KabKota[Rata-rata Skor], "&gt;"&amp;M505) + 1</f>
        <v>53</v>
      </c>
    </row>
    <row r="506" ht="22.5" customHeight="1">
      <c r="A506" s="5">
        <v>498.0</v>
      </c>
      <c r="B506" s="5" t="s">
        <v>180</v>
      </c>
      <c r="C506" s="5" t="s">
        <v>53</v>
      </c>
      <c r="D506" s="5" t="s">
        <v>570</v>
      </c>
      <c r="E506" s="7">
        <v>57.96</v>
      </c>
      <c r="F506" s="8">
        <v>0.313</v>
      </c>
      <c r="G506" s="7">
        <f>VLOOKUP(C506,Provinsi[[#ALL],[Daerah]:[IDI]],4,0)</f>
        <v>3.56</v>
      </c>
      <c r="H506" s="9">
        <f>VLOOKUP(C506,Provinsi[[#ALL],[Daerah]:[IDI]],5,0)</f>
        <v>0</v>
      </c>
      <c r="I506" s="9">
        <f>(E506 - MIN(KabKota[IPM])) / (MAX(KabKota[IPM]) - MIN(KabKota[IPM])) * 100</f>
        <v>35.79268293</v>
      </c>
      <c r="J506" s="9">
        <f>(F506 - MIN(KabKota[IKF])) / (MAX(KabKota[IKF]) - MIN(KabKota[IKF])) * 100</f>
        <v>39.125</v>
      </c>
      <c r="K506" s="9">
        <f>(G506 - MIN(KabKota[TIK])) / (MAX(KabKota[TIK]) - MIN(KabKota[TIK])) * 100</f>
        <v>0</v>
      </c>
      <c r="L506" s="9">
        <f>(H506 - MIN(KabKota[IDI])) / (MAX(KabKota[IDI]) - MIN(KabKota[IDI])) * 100</f>
        <v>0</v>
      </c>
      <c r="M506" s="9">
        <f t="shared" si="1"/>
        <v>18.72942073</v>
      </c>
      <c r="N506" s="11">
        <f>_xlfn.RANK.EQ(M506,KabKota[Rata-rata Skor])</f>
        <v>505</v>
      </c>
      <c r="O506" s="6">
        <f>COUNTIFS(KabKota[Regional], B506, KabKota[Rata-rata Skor], "&gt;"&amp;M506) + 1</f>
        <v>54</v>
      </c>
    </row>
    <row r="507" ht="22.5" customHeight="1">
      <c r="A507" s="5">
        <v>497.0</v>
      </c>
      <c r="B507" s="5" t="s">
        <v>180</v>
      </c>
      <c r="C507" s="5" t="s">
        <v>53</v>
      </c>
      <c r="D507" s="5" t="s">
        <v>571</v>
      </c>
      <c r="E507" s="7">
        <v>45.95</v>
      </c>
      <c r="F507" s="8">
        <v>0.48</v>
      </c>
      <c r="G507" s="7">
        <f>VLOOKUP(C507,Provinsi[[#ALL],[Daerah]:[IDI]],4,0)</f>
        <v>3.56</v>
      </c>
      <c r="H507" s="9">
        <f>VLOOKUP(C507,Provinsi[[#ALL],[Daerah]:[IDI]],5,0)</f>
        <v>0</v>
      </c>
      <c r="I507" s="9">
        <f>(E507 - MIN(KabKota[IPM])) / (MAX(KabKota[IPM]) - MIN(KabKota[IPM])) * 100</f>
        <v>11.38211382</v>
      </c>
      <c r="J507" s="9">
        <f>(F507 - MIN(KabKota[IKF])) / (MAX(KabKota[IKF]) - MIN(KabKota[IKF])) * 100</f>
        <v>60</v>
      </c>
      <c r="K507" s="9">
        <f>(G507 - MIN(KabKota[TIK])) / (MAX(KabKota[TIK]) - MIN(KabKota[TIK])) * 100</f>
        <v>0</v>
      </c>
      <c r="L507" s="9">
        <f>(H507 - MIN(KabKota[IDI])) / (MAX(KabKota[IDI]) - MIN(KabKota[IDI])) * 100</f>
        <v>0</v>
      </c>
      <c r="M507" s="9">
        <f t="shared" si="1"/>
        <v>17.84552846</v>
      </c>
      <c r="N507" s="11">
        <f>_xlfn.RANK.EQ(M507,KabKota[Rata-rata Skor])</f>
        <v>506</v>
      </c>
      <c r="O507" s="6">
        <f>COUNTIFS(KabKota[Regional], B507, KabKota[Rata-rata Skor], "&gt;"&amp;M507) + 1</f>
        <v>55</v>
      </c>
    </row>
    <row r="508" ht="22.5" customHeight="1">
      <c r="A508" s="5">
        <v>491.0</v>
      </c>
      <c r="B508" s="5" t="s">
        <v>180</v>
      </c>
      <c r="C508" s="5" t="s">
        <v>56</v>
      </c>
      <c r="D508" s="5" t="s">
        <v>572</v>
      </c>
      <c r="E508" s="7">
        <v>62.6</v>
      </c>
      <c r="F508" s="8">
        <v>0.207</v>
      </c>
      <c r="G508" s="7">
        <f>VLOOKUP(C508,Provinsi[[#ALL],[Daerah]:[IDI]],4,0)</f>
        <v>3.56</v>
      </c>
      <c r="H508" s="9">
        <f>VLOOKUP(C508,Provinsi[[#ALL],[Daerah]:[IDI]],5,0)</f>
        <v>0</v>
      </c>
      <c r="I508" s="9">
        <f>(E508 - MIN(KabKota[IPM])) / (MAX(KabKota[IPM]) - MIN(KabKota[IPM])) * 100</f>
        <v>45.22357724</v>
      </c>
      <c r="J508" s="9">
        <f>(F508 - MIN(KabKota[IKF])) / (MAX(KabKota[IKF]) - MIN(KabKota[IKF])) * 100</f>
        <v>25.875</v>
      </c>
      <c r="K508" s="9">
        <f>(G508 - MIN(KabKota[TIK])) / (MAX(KabKota[TIK]) - MIN(KabKota[TIK])) * 100</f>
        <v>0</v>
      </c>
      <c r="L508" s="9">
        <f>(H508 - MIN(KabKota[IDI])) / (MAX(KabKota[IDI]) - MIN(KabKota[IDI])) * 100</f>
        <v>0</v>
      </c>
      <c r="M508" s="9">
        <f t="shared" si="1"/>
        <v>17.77464431</v>
      </c>
      <c r="N508" s="11">
        <f>_xlfn.RANK.EQ(M508,KabKota[Rata-rata Skor])</f>
        <v>507</v>
      </c>
      <c r="O508" s="6">
        <f>COUNTIFS(KabKota[Regional], B508, KabKota[Rata-rata Skor], "&gt;"&amp;M508) + 1</f>
        <v>56</v>
      </c>
    </row>
    <row r="509" ht="22.5" customHeight="1">
      <c r="A509" s="5">
        <v>506.0</v>
      </c>
      <c r="B509" s="5" t="s">
        <v>180</v>
      </c>
      <c r="C509" s="5" t="s">
        <v>57</v>
      </c>
      <c r="D509" s="5" t="s">
        <v>573</v>
      </c>
      <c r="E509" s="7">
        <v>52.63</v>
      </c>
      <c r="F509" s="8">
        <v>0.218</v>
      </c>
      <c r="G509" s="7">
        <f>VLOOKUP(C509,Provinsi[[#ALL],[Daerah]:[IDI]],4,0)</f>
        <v>3.56</v>
      </c>
      <c r="H509" s="9">
        <f>VLOOKUP(C509,Provinsi[[#ALL],[Daerah]:[IDI]],5,0)</f>
        <v>0</v>
      </c>
      <c r="I509" s="9">
        <f>(E509 - MIN(KabKota[IPM])) / (MAX(KabKota[IPM]) - MIN(KabKota[IPM])) * 100</f>
        <v>24.95934959</v>
      </c>
      <c r="J509" s="9">
        <f>(F509 - MIN(KabKota[IKF])) / (MAX(KabKota[IKF]) - MIN(KabKota[IKF])) * 100</f>
        <v>27.25</v>
      </c>
      <c r="K509" s="9">
        <f>(G509 - MIN(KabKota[TIK])) / (MAX(KabKota[TIK]) - MIN(KabKota[TIK])) * 100</f>
        <v>0</v>
      </c>
      <c r="L509" s="9">
        <f>(H509 - MIN(KabKota[IDI])) / (MAX(KabKota[IDI]) - MIN(KabKota[IDI])) * 100</f>
        <v>0</v>
      </c>
      <c r="M509" s="9">
        <f t="shared" si="1"/>
        <v>13.0523374</v>
      </c>
      <c r="N509" s="11">
        <f>_xlfn.RANK.EQ(M509,KabKota[Rata-rata Skor])</f>
        <v>508</v>
      </c>
      <c r="O509" s="6">
        <f>COUNTIFS(KabKota[Regional], B509, KabKota[Rata-rata Skor], "&gt;"&amp;M509) + 1</f>
        <v>57</v>
      </c>
    </row>
    <row r="510" ht="22.5" customHeight="1">
      <c r="A510" s="5">
        <v>503.0</v>
      </c>
      <c r="B510" s="5" t="s">
        <v>180</v>
      </c>
      <c r="C510" s="5" t="s">
        <v>57</v>
      </c>
      <c r="D510" s="5" t="s">
        <v>574</v>
      </c>
      <c r="E510" s="7">
        <v>52.48</v>
      </c>
      <c r="F510" s="8">
        <v>0.22</v>
      </c>
      <c r="G510" s="7">
        <f>VLOOKUP(C510,Provinsi[[#ALL],[Daerah]:[IDI]],4,0)</f>
        <v>3.56</v>
      </c>
      <c r="H510" s="9">
        <f>VLOOKUP(C510,Provinsi[[#ALL],[Daerah]:[IDI]],5,0)</f>
        <v>0</v>
      </c>
      <c r="I510" s="9">
        <f>(E510 - MIN(KabKota[IPM])) / (MAX(KabKota[IPM]) - MIN(KabKota[IPM])) * 100</f>
        <v>24.65447154</v>
      </c>
      <c r="J510" s="9">
        <f>(F510 - MIN(KabKota[IKF])) / (MAX(KabKota[IKF]) - MIN(KabKota[IKF])) * 100</f>
        <v>27.5</v>
      </c>
      <c r="K510" s="9">
        <f>(G510 - MIN(KabKota[TIK])) / (MAX(KabKota[TIK]) - MIN(KabKota[TIK])) * 100</f>
        <v>0</v>
      </c>
      <c r="L510" s="9">
        <f>(H510 - MIN(KabKota[IDI])) / (MAX(KabKota[IDI]) - MIN(KabKota[IDI])) * 100</f>
        <v>0</v>
      </c>
      <c r="M510" s="9">
        <f t="shared" si="1"/>
        <v>13.03861789</v>
      </c>
      <c r="N510" s="11">
        <f>_xlfn.RANK.EQ(M510,KabKota[Rata-rata Skor])</f>
        <v>509</v>
      </c>
      <c r="O510" s="6">
        <f>COUNTIFS(KabKota[Regional], B510, KabKota[Rata-rata Skor], "&gt;"&amp;M510) + 1</f>
        <v>58</v>
      </c>
    </row>
    <row r="511" ht="22.5" customHeight="1">
      <c r="A511" s="5">
        <v>502.0</v>
      </c>
      <c r="B511" s="5" t="s">
        <v>180</v>
      </c>
      <c r="C511" s="5" t="s">
        <v>57</v>
      </c>
      <c r="D511" s="5" t="s">
        <v>575</v>
      </c>
      <c r="E511" s="7">
        <v>50.56</v>
      </c>
      <c r="F511" s="8">
        <v>0.248</v>
      </c>
      <c r="G511" s="7">
        <f>VLOOKUP(C511,Provinsi[[#ALL],[Daerah]:[IDI]],4,0)</f>
        <v>3.56</v>
      </c>
      <c r="H511" s="9">
        <f>VLOOKUP(C511,Provinsi[[#ALL],[Daerah]:[IDI]],5,0)</f>
        <v>0</v>
      </c>
      <c r="I511" s="9">
        <f>(E511 - MIN(KabKota[IPM])) / (MAX(KabKota[IPM]) - MIN(KabKota[IPM])) * 100</f>
        <v>20.75203252</v>
      </c>
      <c r="J511" s="9">
        <f>(F511 - MIN(KabKota[IKF])) / (MAX(KabKota[IKF]) - MIN(KabKota[IKF])) * 100</f>
        <v>31</v>
      </c>
      <c r="K511" s="9">
        <f>(G511 - MIN(KabKota[TIK])) / (MAX(KabKota[TIK]) - MIN(KabKota[TIK])) * 100</f>
        <v>0</v>
      </c>
      <c r="L511" s="9">
        <f>(H511 - MIN(KabKota[IDI])) / (MAX(KabKota[IDI]) - MIN(KabKota[IDI])) * 100</f>
        <v>0</v>
      </c>
      <c r="M511" s="9">
        <f t="shared" si="1"/>
        <v>12.93800813</v>
      </c>
      <c r="N511" s="11">
        <f>_xlfn.RANK.EQ(M511,KabKota[Rata-rata Skor])</f>
        <v>510</v>
      </c>
      <c r="O511" s="6">
        <f>COUNTIFS(KabKota[Regional], B511, KabKota[Rata-rata Skor], "&gt;"&amp;M511) + 1</f>
        <v>59</v>
      </c>
    </row>
    <row r="512" ht="22.5" customHeight="1">
      <c r="A512" s="5">
        <v>507.0</v>
      </c>
      <c r="B512" s="5" t="s">
        <v>180</v>
      </c>
      <c r="C512" s="5" t="s">
        <v>57</v>
      </c>
      <c r="D512" s="5" t="s">
        <v>576</v>
      </c>
      <c r="E512" s="7">
        <v>52.47</v>
      </c>
      <c r="F512" s="8">
        <v>0.193</v>
      </c>
      <c r="G512" s="7">
        <f>VLOOKUP(C512,Provinsi[[#ALL],[Daerah]:[IDI]],4,0)</f>
        <v>3.56</v>
      </c>
      <c r="H512" s="9">
        <f>VLOOKUP(C512,Provinsi[[#ALL],[Daerah]:[IDI]],5,0)</f>
        <v>0</v>
      </c>
      <c r="I512" s="9">
        <f>(E512 - MIN(KabKota[IPM])) / (MAX(KabKota[IPM]) - MIN(KabKota[IPM])) * 100</f>
        <v>24.63414634</v>
      </c>
      <c r="J512" s="9">
        <f>(F512 - MIN(KabKota[IKF])) / (MAX(KabKota[IKF]) - MIN(KabKota[IKF])) * 100</f>
        <v>24.125</v>
      </c>
      <c r="K512" s="9">
        <f>(G512 - MIN(KabKota[TIK])) / (MAX(KabKota[TIK]) - MIN(KabKota[TIK])) * 100</f>
        <v>0</v>
      </c>
      <c r="L512" s="9">
        <f>(H512 - MIN(KabKota[IDI])) / (MAX(KabKota[IDI]) - MIN(KabKota[IDI])) * 100</f>
        <v>0</v>
      </c>
      <c r="M512" s="9">
        <f t="shared" si="1"/>
        <v>12.18978659</v>
      </c>
      <c r="N512" s="11">
        <f>_xlfn.RANK.EQ(M512,KabKota[Rata-rata Skor])</f>
        <v>511</v>
      </c>
      <c r="O512" s="6">
        <f>COUNTIFS(KabKota[Regional], B512, KabKota[Rata-rata Skor], "&gt;"&amp;M512) + 1</f>
        <v>60</v>
      </c>
    </row>
    <row r="513" ht="22.5" customHeight="1">
      <c r="A513" s="5">
        <v>504.0</v>
      </c>
      <c r="B513" s="5" t="s">
        <v>180</v>
      </c>
      <c r="C513" s="5" t="s">
        <v>57</v>
      </c>
      <c r="D513" s="5" t="s">
        <v>577</v>
      </c>
      <c r="E513" s="7">
        <v>52.71</v>
      </c>
      <c r="F513" s="8">
        <v>0.187</v>
      </c>
      <c r="G513" s="7">
        <f>VLOOKUP(C513,Provinsi[[#ALL],[Daerah]:[IDI]],4,0)</f>
        <v>3.56</v>
      </c>
      <c r="H513" s="9">
        <f>VLOOKUP(C513,Provinsi[[#ALL],[Daerah]:[IDI]],5,0)</f>
        <v>0</v>
      </c>
      <c r="I513" s="9">
        <f>(E513 - MIN(KabKota[IPM])) / (MAX(KabKota[IPM]) - MIN(KabKota[IPM])) * 100</f>
        <v>25.12195122</v>
      </c>
      <c r="J513" s="9">
        <f>(F513 - MIN(KabKota[IKF])) / (MAX(KabKota[IKF]) - MIN(KabKota[IKF])) * 100</f>
        <v>23.375</v>
      </c>
      <c r="K513" s="9">
        <f>(G513 - MIN(KabKota[TIK])) / (MAX(KabKota[TIK]) - MIN(KabKota[TIK])) * 100</f>
        <v>0</v>
      </c>
      <c r="L513" s="9">
        <f>(H513 - MIN(KabKota[IDI])) / (MAX(KabKota[IDI]) - MIN(KabKota[IDI])) * 100</f>
        <v>0</v>
      </c>
      <c r="M513" s="9">
        <f t="shared" si="1"/>
        <v>12.1242378</v>
      </c>
      <c r="N513" s="11">
        <f>_xlfn.RANK.EQ(M513,KabKota[Rata-rata Skor])</f>
        <v>512</v>
      </c>
      <c r="O513" s="6">
        <f>COUNTIFS(KabKota[Regional], B513, KabKota[Rata-rata Skor], "&gt;"&amp;M513) + 1</f>
        <v>61</v>
      </c>
    </row>
    <row r="514" ht="22.5" customHeight="1">
      <c r="A514" s="5">
        <v>494.0</v>
      </c>
      <c r="B514" s="5" t="s">
        <v>180</v>
      </c>
      <c r="C514" s="5" t="s">
        <v>53</v>
      </c>
      <c r="D514" s="5" t="s">
        <v>578</v>
      </c>
      <c r="E514" s="7">
        <v>53.18</v>
      </c>
      <c r="F514" s="8">
        <v>0.15</v>
      </c>
      <c r="G514" s="7">
        <f>VLOOKUP(C514,Provinsi[[#ALL],[Daerah]:[IDI]],4,0)</f>
        <v>3.56</v>
      </c>
      <c r="H514" s="9">
        <f>VLOOKUP(C514,Provinsi[[#ALL],[Daerah]:[IDI]],5,0)</f>
        <v>0</v>
      </c>
      <c r="I514" s="9">
        <f>(E514 - MIN(KabKota[IPM])) / (MAX(KabKota[IPM]) - MIN(KabKota[IPM])) * 100</f>
        <v>26.07723577</v>
      </c>
      <c r="J514" s="9">
        <f>(F514 - MIN(KabKota[IKF])) / (MAX(KabKota[IKF]) - MIN(KabKota[IKF])) * 100</f>
        <v>18.75</v>
      </c>
      <c r="K514" s="9">
        <f>(G514 - MIN(KabKota[TIK])) / (MAX(KabKota[TIK]) - MIN(KabKota[TIK])) * 100</f>
        <v>0</v>
      </c>
      <c r="L514" s="9">
        <f>(H514 - MIN(KabKota[IDI])) / (MAX(KabKota[IDI]) - MIN(KabKota[IDI])) * 100</f>
        <v>0</v>
      </c>
      <c r="M514" s="9">
        <f t="shared" si="1"/>
        <v>11.20680894</v>
      </c>
      <c r="N514" s="11">
        <f>_xlfn.RANK.EQ(M514,KabKota[Rata-rata Skor])</f>
        <v>513</v>
      </c>
      <c r="O514" s="6">
        <f>COUNTIFS(KabKota[Regional], B514, KabKota[Rata-rata Skor], "&gt;"&amp;M514) + 1</f>
        <v>62</v>
      </c>
    </row>
    <row r="515" ht="22.5" customHeight="1">
      <c r="A515" s="5">
        <v>508.0</v>
      </c>
      <c r="B515" s="5" t="s">
        <v>180</v>
      </c>
      <c r="C515" s="5" t="s">
        <v>57</v>
      </c>
      <c r="D515" s="5" t="s">
        <v>579</v>
      </c>
      <c r="E515" s="7">
        <v>40.35</v>
      </c>
      <c r="F515" s="8">
        <v>0.244</v>
      </c>
      <c r="G515" s="7">
        <f>VLOOKUP(C515,Provinsi[[#ALL],[Daerah]:[IDI]],4,0)</f>
        <v>3.56</v>
      </c>
      <c r="H515" s="9">
        <f>VLOOKUP(C515,Provinsi[[#ALL],[Daerah]:[IDI]],5,0)</f>
        <v>0</v>
      </c>
      <c r="I515" s="9">
        <f>(E515 - MIN(KabKota[IPM])) / (MAX(KabKota[IPM]) - MIN(KabKota[IPM])) * 100</f>
        <v>0</v>
      </c>
      <c r="J515" s="9">
        <f>(F515 - MIN(KabKota[IKF])) / (MAX(KabKota[IKF]) - MIN(KabKota[IKF])) * 100</f>
        <v>30.5</v>
      </c>
      <c r="K515" s="9">
        <f>(G515 - MIN(KabKota[TIK])) / (MAX(KabKota[TIK]) - MIN(KabKota[TIK])) * 100</f>
        <v>0</v>
      </c>
      <c r="L515" s="9">
        <f>(H515 - MIN(KabKota[IDI])) / (MAX(KabKota[IDI]) - MIN(KabKota[IDI])) * 100</f>
        <v>0</v>
      </c>
      <c r="M515" s="9">
        <f t="shared" si="1"/>
        <v>7.625</v>
      </c>
      <c r="N515" s="11">
        <f>_xlfn.RANK.EQ(M515,KabKota[Rata-rata Skor])</f>
        <v>514</v>
      </c>
      <c r="O515" s="6">
        <f>COUNTIFS(KabKota[Regional], B515, KabKota[Rata-rata Skor], "&gt;"&amp;M515) + 1</f>
        <v>63</v>
      </c>
    </row>
  </sheetData>
  <dataValidations>
    <dataValidation type="custom" allowBlank="1" showDropDown="1" sqref="E2:F515 I2:L515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